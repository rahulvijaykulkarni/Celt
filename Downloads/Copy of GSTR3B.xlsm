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9200" windowHeight="6600" tabRatio="658" activeTab="1"/>
  </bookViews>
  <sheets>
    <sheet name="Help Instructions " sheetId="12" r:id="rId1"/>
    <sheet name="GSTR-3B" sheetId="1" r:id="rId2"/>
    <sheet name="Sheet1" sheetId="13" state="hidden" r:id="rId3"/>
    <sheet name="Master" sheetId="11" state="hidden" r:id="rId4"/>
  </sheets>
  <externalReferences>
    <externalReference r:id="rId5"/>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'GSTR-3B'!$B$79:$B$115</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l="1"/>
  <c r="E25" i="1"/>
  <c r="E24" i="1"/>
  <c r="F14" i="1"/>
  <c r="F11" i="1"/>
  <c r="B39" i="11" l="1"/>
  <c r="C2" i="11" a="1"/>
  <c r="F30" i="1" l="1"/>
  <c r="D30" i="1"/>
  <c r="C30" i="1"/>
  <c r="E30"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C2" i="11"/>
  <c r="C35" i="11"/>
  <c r="C31" i="11"/>
  <c r="C34" i="11"/>
  <c r="C27" i="11"/>
  <c r="C18" i="11"/>
  <c r="C8" i="11"/>
  <c r="C5" i="11"/>
  <c r="C22" i="11"/>
  <c r="C3" i="11"/>
  <c r="C4" i="11"/>
  <c r="C26" i="11"/>
  <c r="C15" i="11"/>
  <c r="C12" i="11"/>
  <c r="C33" i="11"/>
  <c r="C37" i="11"/>
  <c r="C29" i="11"/>
  <c r="C28" i="11"/>
  <c r="C36" i="11"/>
  <c r="C11" i="11"/>
  <c r="C7" i="11"/>
  <c r="C13" i="11"/>
  <c r="C9" i="11"/>
  <c r="C10" i="11"/>
  <c r="C25" i="11"/>
  <c r="C14" i="11"/>
  <c r="C21" i="11"/>
  <c r="C20" i="11"/>
  <c r="C24" i="11"/>
  <c r="C17" i="11"/>
  <c r="C23" i="11"/>
  <c r="C30" i="11"/>
  <c r="C6" i="11"/>
  <c r="C16" i="11"/>
  <c r="C32" i="11"/>
  <c r="C19" i="11"/>
  <c r="C39" i="11"/>
  <c r="C38" i="11"/>
  <c r="U3" i="11" l="1"/>
  <c r="H116" i="1"/>
  <c r="G116" i="1"/>
  <c r="F116" i="1"/>
  <c r="E116" i="1"/>
  <c r="D116" i="1"/>
  <c r="C116" i="1"/>
  <c r="U7" i="11" l="1"/>
  <c r="U6" i="11"/>
  <c r="U5" i="11"/>
  <c r="U4" i="11"/>
  <c r="D16" i="1" l="1"/>
  <c r="C67" i="1" l="1"/>
  <c r="C66" i="1"/>
  <c r="C70" i="1" l="1"/>
  <c r="C73" i="1" l="1"/>
  <c r="C72" i="1"/>
  <c r="C71" i="1"/>
  <c r="C65" i="1"/>
  <c r="C68" i="1"/>
  <c r="F16" i="1"/>
  <c r="E16" i="1"/>
  <c r="G16" i="1" l="1"/>
  <c r="E41" i="1" l="1"/>
  <c r="D41" i="1"/>
  <c r="C16" i="1" l="1"/>
</calcChain>
</file>

<file path=xl/sharedStrings.xml><?xml version="1.0" encoding="utf-8"?>
<sst xmlns="http://schemas.openxmlformats.org/spreadsheetml/2006/main" count="157" uniqueCount="113">
  <si>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</si>
  <si>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</si>
  <si>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</si>
  <si>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</si>
  <si>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</si>
  <si>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</si>
  <si>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</si>
  <si>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</si>
  <si>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</si>
  <si>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</si>
  <si>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</si>
  <si>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</si>
  <si>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</si>
  <si>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</si>
  <si>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</si>
  <si>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</si>
  <si>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</si>
  <si>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</si>
  <si>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</si>
  <si>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</si>
  <si>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</si>
  <si>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</si>
  <si>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</si>
  <si>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</si>
  <si>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</si>
  <si>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</si>
  <si>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</si>
  <si>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</si>
  <si>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</si>
  <si>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</si>
  <si>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</si>
  <si>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</si>
  <si>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</si>
  <si>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</si>
  <si>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</si>
  <si>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</si>
  <si>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</si>
  <si>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</si>
  <si>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</si>
  <si>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</si>
  <si>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</si>
  <si>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</si>
  <si>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</si>
  <si>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</si>
  <si>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</si>
  <si>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</si>
  <si>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</si>
  <si>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</si>
  <si>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</si>
  <si>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</si>
  <si>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</si>
  <si>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</si>
  <si>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</si>
  <si>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</si>
  <si>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</si>
  <si>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</si>
  <si>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</si>
  <si>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</si>
  <si>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</si>
  <si>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</si>
  <si>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</si>
  <si>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</si>
  <si>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</si>
  <si>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</si>
  <si>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</si>
  <si>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</si>
  <si>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</si>
  <si>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</si>
  <si>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</si>
  <si>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</si>
  <si>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</si>
  <si>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</si>
  <si>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</si>
  <si>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</si>
  <si>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</si>
  <si>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</si>
  <si>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</si>
  <si>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</si>
  <si>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</si>
  <si>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</si>
  <si>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</si>
  <si>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</si>
  <si>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</si>
  <si>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</si>
  <si>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</si>
  <si>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</si>
  <si>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</si>
  <si>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</si>
  <si>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</si>
  <si>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</si>
  <si>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</si>
  <si>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</si>
  <si>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</si>
  <si>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</si>
  <si>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</si>
  <si>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</si>
  <si>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</si>
  <si>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</si>
  <si>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</si>
  <si>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</si>
  <si>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</si>
  <si>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</si>
  <si>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</si>
  <si>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</si>
  <si>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</si>
  <si>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2018-19</t>
  </si>
  <si>
    <t>2017-18</t>
  </si>
  <si>
    <t>2019-20</t>
  </si>
  <si>
    <t>2020-21</t>
  </si>
  <si>
    <t>38-Ladakh</t>
  </si>
  <si>
    <t>IH&amp;MS INTEGRATED SOLUTIONS INDIA PRIVATE LIMITED</t>
  </si>
  <si>
    <t>27AAECI3733R1Z1</t>
  </si>
  <si>
    <t>December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</si>
</sst>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09]\ #,##0.00"/>
  </numFmts>
  <fonts count="35"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40">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164" fontId="23" fillId="22" borderId="75" xfId="0" applyNumberFormat="1" applyFont="1" applyFill="1" applyBorder="1" applyAlignment="1" applyProtection="1">
      <alignment shrinkToFit="1"/>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8" fillId="17" borderId="23" xfId="0" applyNumberFormat="1" applyFont="1" applyFill="1" applyBorder="1" applyAlignment="1" applyProtection="1">
      <alignment horizontal="center" vertical="center" wrapText="1"/>
      <protection locked="0"/>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35"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xmlns=""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xmlns=""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xmlns=""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3"/>
  <sheetViews>
    <sheetView showGridLines="0" topLeftCell="B1" workbookViewId="0">
      <selection activeCell="B4" sqref="B4"/>
    </sheetView>
  </sheetViews>
  <sheetFormatPr defaultColWidth="0" defaultRowHeight="15" customHeight="1" zeroHeight="1" x14ac:dyDescent="0.25"/>
  <cols>
    <col min="1" max="1" width="4.5703125" customWidth="1"/>
    <col min="2" max="2" width="186.7109375" customWidth="1"/>
    <col min="3" max="3" width="9.140625" customWidth="1"/>
    <col min="4" max="16384" width="9.140625" hidden="1"/>
  </cols>
  <sheetData>
    <row r="1" spans="2:2" ht="49.5" customHeight="1" x14ac:dyDescent="0.3">
      <c r="B1" s="119" t="s">
        <v>98</v>
      </c>
    </row>
    <row r="2" spans="2:2" x14ac:dyDescent="0.25"/>
    <row r="3" spans="2:2" x14ac:dyDescent="0.25">
      <c r="B3" s="117" t="s">
        <v>99</v>
      </c>
    </row>
    <row r="4" spans="2:2" ht="294" customHeight="1" x14ac:dyDescent="0.25">
      <c r="B4" s="118" t="s">
        <v>102</v>
      </c>
    </row>
    <row r="5" spans="2:2" x14ac:dyDescent="0.25"/>
    <row r="6" spans="2:2" x14ac:dyDescent="0.25">
      <c r="B6" s="117" t="s">
        <v>100</v>
      </c>
    </row>
    <row r="7" spans="2:2" ht="261.75" customHeight="1" x14ac:dyDescent="0.25">
      <c r="B7" s="116" t="s">
        <v>103</v>
      </c>
    </row>
    <row r="8" spans="2:2" x14ac:dyDescent="0.25"/>
    <row r="9" spans="2:2" x14ac:dyDescent="0.25">
      <c r="B9" s="117" t="s">
        <v>97</v>
      </c>
    </row>
    <row r="10" spans="2:2" ht="128.25" customHeight="1" x14ac:dyDescent="0.25">
      <c r="B10" s="116" t="s">
        <v>101</v>
      </c>
    </row>
    <row r="11" spans="2:2" x14ac:dyDescent="0.25"/>
    <row r="12" spans="2:2" x14ac:dyDescent="0.25">
      <c r="B12" s="117"/>
    </row>
    <row r="13" spans="2:2" x14ac:dyDescent="0.25"/>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18"/>
  <sheetViews>
    <sheetView showGridLines="0" tabSelected="1" zoomScale="90" zoomScaleNormal="90" workbookViewId="0">
      <pane ySplit="3" topLeftCell="A4" activePane="bottomLeft" state="frozen"/>
      <selection pane="bottomLeft" activeCell="F11" sqref="F11"/>
    </sheetView>
  </sheetViews>
  <sheetFormatPr defaultColWidth="0" defaultRowHeight="15.75" zeroHeight="1" x14ac:dyDescent="0.25"/>
  <cols>
    <col min="1" max="1" width="4.5703125" style="93" customWidth="1"/>
    <col min="2" max="2" width="45.140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x14ac:dyDescent="0.3">
      <c r="B1" s="93"/>
      <c r="C1" s="93"/>
      <c r="D1" s="93"/>
      <c r="E1" s="93"/>
      <c r="F1" s="93"/>
      <c r="G1" s="93"/>
      <c r="H1" s="93"/>
      <c r="I1" s="93"/>
      <c r="J1" s="93"/>
      <c r="K1" s="93"/>
      <c r="L1" s="93"/>
      <c r="M1" s="93"/>
    </row>
    <row r="2" spans="2:13" ht="15.75" customHeight="1" x14ac:dyDescent="0.25">
      <c r="B2" s="140" t="s">
        <v>94</v>
      </c>
      <c r="C2" s="141"/>
      <c r="D2" s="141"/>
      <c r="E2" s="141"/>
      <c r="F2" s="141"/>
      <c r="G2" s="141"/>
      <c r="H2" s="141"/>
      <c r="I2" s="141"/>
      <c r="J2" s="141"/>
      <c r="K2" s="141"/>
      <c r="L2" s="142"/>
      <c r="M2" s="93"/>
    </row>
    <row r="3" spans="2:13" ht="78.75" customHeight="1" thickBot="1" x14ac:dyDescent="0.3">
      <c r="B3" s="143"/>
      <c r="C3" s="144"/>
      <c r="D3" s="144"/>
      <c r="E3" s="144"/>
      <c r="F3" s="144"/>
      <c r="G3" s="144"/>
      <c r="H3" s="144"/>
      <c r="I3" s="144"/>
      <c r="J3" s="144"/>
      <c r="K3" s="144"/>
      <c r="L3" s="145"/>
      <c r="M3" s="93"/>
    </row>
    <row r="4" spans="2:13" ht="16.5" customHeight="1" thickBot="1" x14ac:dyDescent="0.3">
      <c r="B4" s="97"/>
      <c r="C4" s="97"/>
      <c r="D4" s="97"/>
      <c r="E4" s="97"/>
      <c r="F4" s="97"/>
      <c r="G4" s="97"/>
      <c r="H4" s="97"/>
      <c r="I4" s="97"/>
      <c r="J4" s="93"/>
      <c r="K4" s="93"/>
      <c r="L4" s="93"/>
      <c r="M4" s="93"/>
    </row>
    <row r="5" spans="2:13" ht="16.5" thickBot="1" x14ac:dyDescent="0.3">
      <c r="B5" s="57" t="s">
        <v>75</v>
      </c>
      <c r="C5" s="175" t="s">
        <v>111</v>
      </c>
      <c r="D5" s="175"/>
      <c r="E5" s="177" t="s">
        <v>20</v>
      </c>
      <c r="F5" s="178"/>
      <c r="G5" s="5" t="s">
        <v>107</v>
      </c>
      <c r="H5" s="146" t="s">
        <v>89</v>
      </c>
      <c r="I5" s="148"/>
      <c r="J5" s="149"/>
      <c r="K5" s="93"/>
      <c r="L5" s="93"/>
      <c r="M5" s="93"/>
    </row>
    <row r="6" spans="2:13" ht="17.25" thickTop="1" thickBot="1" x14ac:dyDescent="0.3">
      <c r="B6" s="58" t="s">
        <v>76</v>
      </c>
      <c r="C6" s="176" t="s">
        <v>110</v>
      </c>
      <c r="D6" s="176"/>
      <c r="E6" s="179" t="s">
        <v>21</v>
      </c>
      <c r="F6" s="180"/>
      <c r="G6" s="6" t="s">
        <v>112</v>
      </c>
      <c r="H6" s="147"/>
      <c r="I6" s="150"/>
      <c r="J6" s="151"/>
      <c r="K6" s="93"/>
      <c r="L6" s="93"/>
      <c r="M6" s="93"/>
    </row>
    <row r="7" spans="2:13" s="93" customFormat="1" ht="16.5" thickBot="1" x14ac:dyDescent="0.3">
      <c r="B7" s="98"/>
      <c r="C7" s="98"/>
      <c r="D7" s="99"/>
      <c r="E7" s="98"/>
      <c r="F7" s="98"/>
      <c r="G7" s="98"/>
      <c r="H7" s="172"/>
      <c r="I7" s="172"/>
      <c r="J7" s="172"/>
      <c r="K7" s="172"/>
      <c r="L7" s="172"/>
      <c r="M7" s="172"/>
    </row>
    <row r="8" spans="2:13" ht="21" customHeight="1" thickBot="1" x14ac:dyDescent="0.3">
      <c r="B8" s="202" t="s">
        <v>84</v>
      </c>
      <c r="C8" s="203"/>
      <c r="D8" s="203"/>
      <c r="E8" s="203"/>
      <c r="F8" s="203"/>
      <c r="G8" s="204"/>
      <c r="H8" s="93"/>
      <c r="I8" s="93"/>
      <c r="J8" s="93"/>
      <c r="K8" s="93"/>
      <c r="L8" s="93"/>
      <c r="M8" s="93"/>
    </row>
    <row r="9" spans="2:13" ht="48.75" customHeight="1" thickBot="1" x14ac:dyDescent="0.3">
      <c r="B9" s="59" t="s">
        <v>0</v>
      </c>
      <c r="C9" s="60" t="s">
        <v>1</v>
      </c>
      <c r="D9" s="60" t="s">
        <v>2</v>
      </c>
      <c r="E9" s="60" t="s">
        <v>3</v>
      </c>
      <c r="F9" s="60" t="s">
        <v>4</v>
      </c>
      <c r="G9" s="60" t="s">
        <v>5</v>
      </c>
      <c r="H9" s="93"/>
      <c r="I9" s="93"/>
      <c r="J9" s="93"/>
      <c r="K9" s="93"/>
      <c r="L9" s="93"/>
      <c r="M9" s="93"/>
    </row>
    <row r="10" spans="2:13" ht="16.5" thickBot="1" x14ac:dyDescent="0.3">
      <c r="B10" s="61">
        <v>1</v>
      </c>
      <c r="C10" s="62">
        <v>2</v>
      </c>
      <c r="D10" s="62">
        <v>3</v>
      </c>
      <c r="E10" s="62">
        <v>4</v>
      </c>
      <c r="F10" s="62">
        <v>5</v>
      </c>
      <c r="G10" s="63">
        <v>6</v>
      </c>
      <c r="H10" s="93"/>
      <c r="I10" s="93"/>
      <c r="J10" s="93"/>
      <c r="K10" s="93"/>
      <c r="L10" s="93"/>
      <c r="M10" s="93"/>
    </row>
    <row r="11" spans="2:13" ht="31.5" x14ac:dyDescent="0.25">
      <c r="B11" s="64" t="s">
        <v>96</v>
      </c>
      <c r="C11" s="121">
        <v>19717451.050000001</v>
      </c>
      <c r="D11" s="121">
        <v>2061333.26</v>
      </c>
      <c r="E11" s="121">
        <v>722754.9</v>
      </c>
      <c r="F11" s="122">
        <f>E11</f>
        <v>722754.9</v>
      </c>
      <c r="G11" s="121">
        <v>0</v>
      </c>
      <c r="H11" s="93"/>
      <c r="I11" s="93"/>
      <c r="J11" s="93"/>
      <c r="K11" s="93"/>
      <c r="L11" s="93"/>
      <c r="M11" s="93"/>
    </row>
    <row r="12" spans="2:13" x14ac:dyDescent="0.25">
      <c r="B12" s="65" t="s">
        <v>6</v>
      </c>
      <c r="C12" s="121">
        <v>0</v>
      </c>
      <c r="D12" s="121">
        <v>0</v>
      </c>
      <c r="E12" s="209"/>
      <c r="F12" s="210"/>
      <c r="G12" s="121">
        <v>0</v>
      </c>
      <c r="H12" s="93"/>
      <c r="I12" s="93"/>
      <c r="J12" s="93"/>
      <c r="K12" s="93"/>
      <c r="L12" s="93"/>
      <c r="M12" s="93"/>
    </row>
    <row r="13" spans="2:13" ht="31.5" x14ac:dyDescent="0.25">
      <c r="B13" s="65" t="s">
        <v>22</v>
      </c>
      <c r="C13" s="121">
        <v>0</v>
      </c>
      <c r="D13" s="211"/>
      <c r="E13" s="212"/>
      <c r="F13" s="212"/>
      <c r="G13" s="213"/>
      <c r="H13" s="93"/>
      <c r="I13" s="93"/>
      <c r="J13" s="93"/>
      <c r="K13" s="93"/>
      <c r="L13" s="93"/>
      <c r="M13" s="93"/>
    </row>
    <row r="14" spans="2:13" x14ac:dyDescent="0.25">
      <c r="B14" s="65" t="s">
        <v>23</v>
      </c>
      <c r="C14" s="121">
        <v>0</v>
      </c>
      <c r="D14" s="121">
        <v>0</v>
      </c>
      <c r="E14" s="121">
        <v>0</v>
      </c>
      <c r="F14" s="123">
        <f>E14</f>
        <v>0</v>
      </c>
      <c r="G14" s="121">
        <v>0</v>
      </c>
      <c r="H14" s="93"/>
      <c r="I14" s="93"/>
      <c r="J14" s="93"/>
      <c r="K14" s="93"/>
      <c r="L14" s="93"/>
      <c r="M14" s="93"/>
    </row>
    <row r="15" spans="2:13" ht="16.5" thickBot="1" x14ac:dyDescent="0.3">
      <c r="B15" s="66" t="s">
        <v>24</v>
      </c>
      <c r="C15" s="121">
        <v>0</v>
      </c>
      <c r="D15" s="214"/>
      <c r="E15" s="215"/>
      <c r="F15" s="215"/>
      <c r="G15" s="216"/>
      <c r="H15" s="93"/>
      <c r="I15" s="93"/>
      <c r="J15" s="93"/>
      <c r="K15" s="93"/>
      <c r="L15" s="93"/>
      <c r="M15" s="93"/>
    </row>
    <row r="16" spans="2:13" ht="16.5" thickBot="1" x14ac:dyDescent="0.3">
      <c r="B16" s="67" t="s">
        <v>93</v>
      </c>
      <c r="C16" s="120">
        <f>SUM(C11:C15)</f>
        <v>19717451.050000001</v>
      </c>
      <c r="D16" s="124">
        <f>SUM(D11:D12) + D14</f>
        <v>2061333.26</v>
      </c>
      <c r="E16" s="124">
        <f>E11 + E14</f>
        <v>722754.9</v>
      </c>
      <c r="F16" s="124">
        <f>F11 + F14</f>
        <v>722754.9</v>
      </c>
      <c r="G16" s="125">
        <f>SUM(G11:G12) + G14</f>
        <v>0</v>
      </c>
      <c r="H16" s="93"/>
      <c r="I16" s="93"/>
      <c r="J16" s="93"/>
      <c r="K16" s="93"/>
      <c r="L16" s="93"/>
      <c r="M16" s="93"/>
    </row>
    <row r="17" spans="2:13" s="93" customFormat="1" ht="16.5" thickBot="1" x14ac:dyDescent="0.3"/>
    <row r="18" spans="2:13" ht="21.75" customHeight="1" thickBot="1" x14ac:dyDescent="0.3">
      <c r="B18" s="205" t="s">
        <v>85</v>
      </c>
      <c r="C18" s="206"/>
      <c r="D18" s="206"/>
      <c r="E18" s="206"/>
      <c r="F18" s="207"/>
      <c r="G18" s="93"/>
      <c r="H18" s="93"/>
      <c r="I18" s="93"/>
      <c r="J18" s="93"/>
      <c r="K18" s="93"/>
      <c r="L18" s="93"/>
      <c r="M18" s="93"/>
    </row>
    <row r="19" spans="2:13" ht="33.75" customHeight="1" thickBot="1" x14ac:dyDescent="0.3">
      <c r="B19" s="68" t="s">
        <v>8</v>
      </c>
      <c r="C19" s="69" t="s">
        <v>2</v>
      </c>
      <c r="D19" s="69" t="s">
        <v>3</v>
      </c>
      <c r="E19" s="69" t="s">
        <v>4</v>
      </c>
      <c r="F19" s="69" t="s">
        <v>5</v>
      </c>
      <c r="G19" s="93"/>
      <c r="H19" s="93"/>
      <c r="I19" s="93"/>
      <c r="J19" s="93"/>
      <c r="K19" s="93"/>
      <c r="L19" s="93"/>
      <c r="M19" s="93"/>
    </row>
    <row r="20" spans="2:13" ht="16.5" thickBot="1" x14ac:dyDescent="0.3">
      <c r="B20" s="70">
        <v>1</v>
      </c>
      <c r="C20" s="71">
        <v>2</v>
      </c>
      <c r="D20" s="71">
        <v>3</v>
      </c>
      <c r="E20" s="71">
        <v>4</v>
      </c>
      <c r="F20" s="71">
        <v>5</v>
      </c>
      <c r="G20" s="93"/>
      <c r="H20" s="93"/>
      <c r="I20" s="93"/>
      <c r="J20" s="93"/>
      <c r="K20" s="93"/>
      <c r="L20" s="93"/>
      <c r="M20" s="93"/>
    </row>
    <row r="21" spans="2:13" ht="31.5" x14ac:dyDescent="0.25">
      <c r="B21" s="72" t="s">
        <v>28</v>
      </c>
      <c r="C21" s="73"/>
      <c r="D21" s="74"/>
      <c r="E21" s="74"/>
      <c r="F21" s="75"/>
      <c r="G21" s="93"/>
      <c r="H21" s="93"/>
      <c r="I21" s="93"/>
      <c r="J21" s="93"/>
      <c r="K21" s="93"/>
      <c r="L21" s="93"/>
      <c r="M21" s="93"/>
    </row>
    <row r="22" spans="2:13" x14ac:dyDescent="0.25">
      <c r="B22" s="76" t="s">
        <v>29</v>
      </c>
      <c r="C22" s="126">
        <v>0</v>
      </c>
      <c r="D22" s="217"/>
      <c r="E22" s="218"/>
      <c r="F22" s="126">
        <v>0</v>
      </c>
      <c r="G22" s="93"/>
      <c r="H22" s="93"/>
      <c r="I22" s="93"/>
      <c r="J22" s="93"/>
      <c r="K22" s="93"/>
      <c r="L22" s="93"/>
      <c r="M22" s="93"/>
    </row>
    <row r="23" spans="2:13" x14ac:dyDescent="0.25">
      <c r="B23" s="76" t="s">
        <v>30</v>
      </c>
      <c r="C23" s="126">
        <v>0</v>
      </c>
      <c r="D23" s="219"/>
      <c r="E23" s="220"/>
      <c r="F23" s="126">
        <v>0</v>
      </c>
      <c r="G23" s="93"/>
      <c r="H23" s="93"/>
      <c r="I23" s="93"/>
      <c r="J23" s="93"/>
      <c r="K23" s="93"/>
      <c r="L23" s="93"/>
      <c r="M23" s="93"/>
    </row>
    <row r="24" spans="2:13" ht="47.25" x14ac:dyDescent="0.25">
      <c r="B24" s="76" t="s">
        <v>32</v>
      </c>
      <c r="C24" s="126">
        <v>0</v>
      </c>
      <c r="D24" s="126">
        <v>0</v>
      </c>
      <c r="E24" s="127">
        <f>D24</f>
        <v>0</v>
      </c>
      <c r="F24" s="126">
        <v>0</v>
      </c>
      <c r="G24" s="93"/>
      <c r="H24" s="93"/>
      <c r="I24" s="93"/>
      <c r="J24" s="93"/>
      <c r="K24" s="93"/>
      <c r="L24" s="93"/>
      <c r="M24" s="93"/>
    </row>
    <row r="25" spans="2:13" x14ac:dyDescent="0.25">
      <c r="B25" s="76" t="s">
        <v>31</v>
      </c>
      <c r="C25" s="126">
        <v>0</v>
      </c>
      <c r="D25" s="126">
        <v>0</v>
      </c>
      <c r="E25" s="127">
        <f>D25</f>
        <v>0</v>
      </c>
      <c r="F25" s="126">
        <v>0</v>
      </c>
      <c r="G25" s="93"/>
      <c r="H25" s="93"/>
      <c r="I25" s="93"/>
      <c r="J25" s="93"/>
      <c r="K25" s="93"/>
      <c r="L25" s="93"/>
      <c r="M25" s="93"/>
    </row>
    <row r="26" spans="2:13" ht="16.5" thickBot="1" x14ac:dyDescent="0.3">
      <c r="B26" s="77" t="s">
        <v>33</v>
      </c>
      <c r="C26" s="126">
        <v>0</v>
      </c>
      <c r="D26" s="126">
        <v>0</v>
      </c>
      <c r="E26" s="127">
        <f>D26</f>
        <v>0</v>
      </c>
      <c r="F26" s="126">
        <v>0</v>
      </c>
      <c r="G26" s="93"/>
      <c r="H26" s="93"/>
      <c r="I26" s="93"/>
      <c r="J26" s="93"/>
      <c r="K26" s="93"/>
      <c r="L26" s="93"/>
      <c r="M26" s="93"/>
    </row>
    <row r="27" spans="2:13" x14ac:dyDescent="0.25">
      <c r="B27" s="78" t="s">
        <v>72</v>
      </c>
      <c r="C27" s="101"/>
      <c r="D27" s="102"/>
      <c r="E27" s="102"/>
      <c r="F27" s="103"/>
      <c r="G27" s="93"/>
      <c r="H27" s="93"/>
      <c r="I27" s="93"/>
      <c r="J27" s="93"/>
      <c r="K27" s="93"/>
      <c r="L27" s="93"/>
      <c r="M27" s="93"/>
    </row>
    <row r="28" spans="2:13" ht="31.5" x14ac:dyDescent="0.25">
      <c r="B28" s="76" t="s">
        <v>82</v>
      </c>
      <c r="C28" s="126">
        <v>0</v>
      </c>
      <c r="D28" s="126">
        <v>0</v>
      </c>
      <c r="E28" s="127">
        <v>0</v>
      </c>
      <c r="F28" s="126">
        <v>0</v>
      </c>
      <c r="G28" s="93"/>
      <c r="H28" s="93"/>
      <c r="I28" s="93"/>
      <c r="J28" s="93"/>
      <c r="K28" s="93"/>
      <c r="L28" s="93"/>
      <c r="M28" s="93"/>
    </row>
    <row r="29" spans="2:13" ht="16.5" thickBot="1" x14ac:dyDescent="0.3">
      <c r="B29" s="79" t="s">
        <v>34</v>
      </c>
      <c r="C29" s="126">
        <v>0</v>
      </c>
      <c r="D29" s="126">
        <v>0</v>
      </c>
      <c r="E29" s="126">
        <v>0</v>
      </c>
      <c r="F29" s="126">
        <v>0</v>
      </c>
      <c r="G29" s="93"/>
      <c r="H29" s="93"/>
      <c r="I29" s="93"/>
      <c r="J29" s="93"/>
      <c r="K29" s="93"/>
      <c r="L29" s="93"/>
      <c r="M29" s="93"/>
    </row>
    <row r="30" spans="2:13" ht="16.5" thickBot="1" x14ac:dyDescent="0.3">
      <c r="B30" s="80" t="s">
        <v>73</v>
      </c>
      <c r="C30" s="128">
        <f>SUM(ROUND(C22,2),ROUND(C23,2),ROUND(C24,2),ROUND(C25,2),ROUND(C26,2))-SUM(ROUND(C28,2),ROUND(C29,2))</f>
        <v>0</v>
      </c>
      <c r="D30" s="128">
        <f>SUM(ROUND(D22,2),ROUND(D23,2),ROUND(D24,2),ROUND(D25,2),ROUND(D26,2))-SUM(ROUND(D28,2),ROUND(D29,2))</f>
        <v>0</v>
      </c>
      <c r="E30" s="128">
        <f>SUM(ROUND(E22,2),ROUND(E23,2),ROUND(E24,2),ROUND(E25,2),ROUND(E26,2))-SUM(ROUND(E28,2),ROUND(E29,2))</f>
        <v>0</v>
      </c>
      <c r="F30" s="129">
        <f>SUM(ROUND(F22,2),ROUND(F23,2),ROUND(F24,2),ROUND(F25,2),ROUND(F26,2))-SUM(ROUND(F28,2),ROUND(F29,2))</f>
        <v>0</v>
      </c>
      <c r="G30" s="93"/>
      <c r="H30" s="93"/>
      <c r="I30" s="93"/>
      <c r="J30" s="93"/>
      <c r="K30" s="93"/>
      <c r="L30" s="93"/>
      <c r="M30" s="93"/>
    </row>
    <row r="31" spans="2:13" x14ac:dyDescent="0.25">
      <c r="B31" s="81" t="s">
        <v>74</v>
      </c>
      <c r="C31" s="73"/>
      <c r="D31" s="74"/>
      <c r="E31" s="74"/>
      <c r="F31" s="75"/>
      <c r="G31" s="93"/>
      <c r="H31" s="93"/>
      <c r="I31" s="93"/>
      <c r="J31" s="93"/>
      <c r="K31" s="93"/>
      <c r="L31" s="93"/>
      <c r="M31" s="93"/>
    </row>
    <row r="32" spans="2:13" ht="31.5" x14ac:dyDescent="0.25">
      <c r="B32" s="76" t="s">
        <v>83</v>
      </c>
      <c r="C32" s="126">
        <v>0</v>
      </c>
      <c r="D32" s="126">
        <v>0</v>
      </c>
      <c r="E32" s="127">
        <v>0</v>
      </c>
      <c r="F32" s="126">
        <v>0</v>
      </c>
      <c r="G32" s="93"/>
      <c r="H32" s="93"/>
      <c r="I32" s="93"/>
      <c r="J32" s="93"/>
      <c r="K32" s="93"/>
      <c r="L32" s="93"/>
      <c r="M32" s="93"/>
    </row>
    <row r="33" spans="2:13" ht="16.5" thickBot="1" x14ac:dyDescent="0.3">
      <c r="B33" s="77" t="s">
        <v>34</v>
      </c>
      <c r="C33" s="126">
        <v>0</v>
      </c>
      <c r="D33" s="126">
        <v>0</v>
      </c>
      <c r="E33" s="127">
        <v>0</v>
      </c>
      <c r="F33" s="126">
        <v>0</v>
      </c>
      <c r="G33" s="93"/>
      <c r="H33" s="93"/>
      <c r="I33" s="93"/>
      <c r="J33" s="93"/>
      <c r="K33" s="93"/>
      <c r="L33" s="93"/>
      <c r="M33" s="93"/>
    </row>
    <row r="34" spans="2:13" s="94" customFormat="1" x14ac:dyDescent="0.25">
      <c r="C34" s="100"/>
      <c r="D34" s="100"/>
      <c r="E34" s="100"/>
      <c r="F34" s="100"/>
    </row>
    <row r="35" spans="2:13" s="93" customFormat="1" ht="16.5" thickBot="1" x14ac:dyDescent="0.3"/>
    <row r="36" spans="2:13" ht="19.5" customHeight="1" thickBot="1" x14ac:dyDescent="0.3">
      <c r="B36" s="202" t="s">
        <v>86</v>
      </c>
      <c r="C36" s="203"/>
      <c r="D36" s="203"/>
      <c r="E36" s="204"/>
      <c r="F36" s="93"/>
      <c r="G36" s="93"/>
      <c r="H36" s="93"/>
      <c r="I36" s="93"/>
      <c r="J36" s="93"/>
      <c r="K36" s="93"/>
      <c r="L36" s="93"/>
      <c r="M36" s="93"/>
    </row>
    <row r="37" spans="2:13" ht="32.25" thickBot="1" x14ac:dyDescent="0.3">
      <c r="B37" s="181" t="s">
        <v>9</v>
      </c>
      <c r="C37" s="182"/>
      <c r="D37" s="82" t="s">
        <v>10</v>
      </c>
      <c r="E37" s="82" t="s">
        <v>11</v>
      </c>
      <c r="F37" s="93"/>
      <c r="G37" s="93"/>
      <c r="H37" s="93"/>
      <c r="I37" s="93"/>
      <c r="J37" s="93"/>
      <c r="K37" s="93"/>
      <c r="L37" s="93"/>
      <c r="M37" s="93"/>
    </row>
    <row r="38" spans="2:13" ht="16.5" thickBot="1" x14ac:dyDescent="0.3">
      <c r="B38" s="226">
        <v>1</v>
      </c>
      <c r="C38" s="227"/>
      <c r="D38" s="83">
        <v>2</v>
      </c>
      <c r="E38" s="83">
        <v>3</v>
      </c>
      <c r="F38" s="93"/>
      <c r="G38" s="93"/>
      <c r="H38" s="93"/>
      <c r="I38" s="93"/>
      <c r="J38" s="93"/>
      <c r="K38" s="93"/>
      <c r="L38" s="93"/>
      <c r="M38" s="93"/>
    </row>
    <row r="39" spans="2:13" ht="15.75" customHeight="1" thickBot="1" x14ac:dyDescent="0.3">
      <c r="B39" s="228" t="s">
        <v>35</v>
      </c>
      <c r="C39" s="229"/>
      <c r="D39" s="130">
        <v>0</v>
      </c>
      <c r="E39" s="131">
        <v>0</v>
      </c>
      <c r="F39" s="93"/>
      <c r="G39" s="93"/>
      <c r="H39" s="93"/>
      <c r="I39" s="93"/>
      <c r="J39" s="93"/>
      <c r="K39" s="93"/>
      <c r="L39" s="93"/>
      <c r="M39" s="93"/>
    </row>
    <row r="40" spans="2:13" ht="16.5" customHeight="1" thickBot="1" x14ac:dyDescent="0.3">
      <c r="B40" s="183" t="s">
        <v>12</v>
      </c>
      <c r="C40" s="184"/>
      <c r="D40" s="130">
        <v>0</v>
      </c>
      <c r="E40" s="132">
        <v>0</v>
      </c>
      <c r="F40" s="93"/>
      <c r="G40" s="93"/>
      <c r="H40" s="93"/>
      <c r="I40" s="93"/>
      <c r="J40" s="93"/>
      <c r="K40" s="93"/>
      <c r="L40" s="93"/>
      <c r="M40" s="93"/>
    </row>
    <row r="41" spans="2:13" ht="16.5" thickBot="1" x14ac:dyDescent="0.3">
      <c r="B41" s="224" t="s">
        <v>93</v>
      </c>
      <c r="C41" s="225"/>
      <c r="D41" s="133">
        <f>SUM(D39:D40)</f>
        <v>0</v>
      </c>
      <c r="E41" s="134">
        <f>SUM(E39:E40)</f>
        <v>0</v>
      </c>
      <c r="F41" s="93"/>
      <c r="G41" s="93"/>
      <c r="H41" s="93"/>
      <c r="I41" s="93"/>
      <c r="J41" s="93"/>
      <c r="K41" s="93"/>
      <c r="L41" s="93"/>
      <c r="M41" s="93"/>
    </row>
    <row r="42" spans="2:13" x14ac:dyDescent="0.25">
      <c r="M42" s="93"/>
    </row>
    <row r="43" spans="2:13" ht="19.5" hidden="1" thickBot="1" x14ac:dyDescent="0.3">
      <c r="B43" s="185" t="s">
        <v>77</v>
      </c>
      <c r="C43" s="186"/>
      <c r="D43" s="186"/>
      <c r="E43" s="186"/>
      <c r="F43" s="186"/>
      <c r="G43" s="186"/>
      <c r="H43" s="186"/>
      <c r="I43" s="186"/>
      <c r="J43" s="186"/>
      <c r="K43" s="187"/>
      <c r="M43" s="93"/>
    </row>
    <row r="44" spans="2:13" ht="18" hidden="1" thickBot="1" x14ac:dyDescent="0.3">
      <c r="B44" s="173" t="s">
        <v>13</v>
      </c>
      <c r="C44" s="173" t="s">
        <v>14</v>
      </c>
      <c r="D44" s="221" t="s">
        <v>15</v>
      </c>
      <c r="E44" s="222"/>
      <c r="F44" s="222"/>
      <c r="G44" s="223"/>
      <c r="H44" s="173" t="s">
        <v>16</v>
      </c>
      <c r="I44" s="173" t="s">
        <v>17</v>
      </c>
      <c r="J44" s="173" t="s">
        <v>18</v>
      </c>
      <c r="K44" s="173" t="s">
        <v>19</v>
      </c>
      <c r="M44" s="93"/>
    </row>
    <row r="45" spans="2:13" ht="35.25" hidden="1" thickBot="1" x14ac:dyDescent="0.3">
      <c r="B45" s="174"/>
      <c r="C45" s="174"/>
      <c r="D45" s="7" t="s">
        <v>2</v>
      </c>
      <c r="E45" s="8" t="s">
        <v>3</v>
      </c>
      <c r="F45" s="7" t="s">
        <v>4</v>
      </c>
      <c r="G45" s="7" t="s">
        <v>5</v>
      </c>
      <c r="H45" s="174"/>
      <c r="I45" s="174"/>
      <c r="J45" s="174"/>
      <c r="K45" s="174"/>
      <c r="M45" s="93"/>
    </row>
    <row r="46" spans="2:13" ht="16.5" hidden="1" thickBot="1" x14ac:dyDescent="0.3">
      <c r="B46" s="9">
        <v>1</v>
      </c>
      <c r="C46" s="9">
        <v>2</v>
      </c>
      <c r="D46" s="9">
        <v>4</v>
      </c>
      <c r="E46" s="9">
        <v>5</v>
      </c>
      <c r="F46" s="9">
        <v>6</v>
      </c>
      <c r="G46" s="9">
        <v>7</v>
      </c>
      <c r="H46" s="9"/>
      <c r="I46" s="9">
        <v>8</v>
      </c>
      <c r="J46" s="9">
        <v>9</v>
      </c>
      <c r="K46" s="9">
        <v>10</v>
      </c>
      <c r="M46" s="93"/>
    </row>
    <row r="47" spans="2:13" hidden="1" x14ac:dyDescent="0.25">
      <c r="B47" s="10" t="s">
        <v>2</v>
      </c>
      <c r="C47" s="11"/>
      <c r="D47" s="11"/>
      <c r="E47" s="11"/>
      <c r="F47" s="11"/>
      <c r="G47" s="12"/>
      <c r="H47" s="191"/>
      <c r="I47" s="11"/>
      <c r="J47" s="13"/>
      <c r="K47" s="14"/>
      <c r="M47" s="93"/>
    </row>
    <row r="48" spans="2:13" hidden="1" x14ac:dyDescent="0.25">
      <c r="B48" s="15" t="s">
        <v>3</v>
      </c>
      <c r="C48" s="16"/>
      <c r="D48" s="16"/>
      <c r="E48" s="17"/>
      <c r="F48" s="18"/>
      <c r="G48" s="19"/>
      <c r="H48" s="192"/>
      <c r="I48" s="16"/>
      <c r="J48" s="19"/>
      <c r="K48" s="20"/>
      <c r="M48" s="93"/>
    </row>
    <row r="49" spans="1:13" hidden="1" x14ac:dyDescent="0.25">
      <c r="B49" s="15" t="s">
        <v>4</v>
      </c>
      <c r="C49" s="16"/>
      <c r="D49" s="21"/>
      <c r="E49" s="18"/>
      <c r="F49" s="22"/>
      <c r="G49" s="19"/>
      <c r="H49" s="192"/>
      <c r="I49" s="16"/>
      <c r="J49" s="19"/>
      <c r="K49" s="20"/>
      <c r="M49" s="93"/>
    </row>
    <row r="50" spans="1:13" ht="16.5" hidden="1" thickBot="1" x14ac:dyDescent="0.3">
      <c r="B50" s="23" t="s">
        <v>5</v>
      </c>
      <c r="C50" s="24"/>
      <c r="D50" s="193"/>
      <c r="E50" s="208"/>
      <c r="F50" s="193"/>
      <c r="G50" s="25"/>
      <c r="H50" s="193"/>
      <c r="I50" s="24"/>
      <c r="J50" s="25"/>
      <c r="K50" s="26"/>
      <c r="M50" s="93"/>
    </row>
    <row r="51" spans="1:13" hidden="1" x14ac:dyDescent="0.25">
      <c r="M51" s="93"/>
    </row>
    <row r="52" spans="1:13" s="93" customFormat="1" ht="16.5" thickBot="1" x14ac:dyDescent="0.3"/>
    <row r="53" spans="1:13" ht="28.5" customHeight="1" thickBot="1" x14ac:dyDescent="0.3">
      <c r="A53" s="95"/>
      <c r="B53" s="188" t="s">
        <v>87</v>
      </c>
      <c r="C53" s="189"/>
      <c r="D53" s="189"/>
      <c r="E53" s="189"/>
      <c r="F53" s="190"/>
      <c r="G53" s="93"/>
      <c r="H53" s="93"/>
      <c r="I53" s="93"/>
      <c r="J53" s="93"/>
      <c r="K53" s="93"/>
      <c r="L53" s="93"/>
      <c r="M53" s="93"/>
    </row>
    <row r="54" spans="1:13" ht="16.5" thickBot="1" x14ac:dyDescent="0.3">
      <c r="B54" s="84" t="s">
        <v>13</v>
      </c>
      <c r="C54" s="85" t="s">
        <v>2</v>
      </c>
      <c r="D54" s="84" t="s">
        <v>3</v>
      </c>
      <c r="E54" s="86" t="s">
        <v>4</v>
      </c>
      <c r="F54" s="87" t="s">
        <v>5</v>
      </c>
      <c r="G54" s="93"/>
      <c r="H54" s="93"/>
      <c r="I54" s="93"/>
      <c r="J54" s="93"/>
      <c r="K54" s="93"/>
      <c r="L54" s="93"/>
      <c r="M54" s="93"/>
    </row>
    <row r="55" spans="1:13" x14ac:dyDescent="0.25">
      <c r="B55" s="88">
        <v>1</v>
      </c>
      <c r="C55" s="89">
        <v>2</v>
      </c>
      <c r="D55" s="90">
        <v>3</v>
      </c>
      <c r="E55" s="90">
        <v>4</v>
      </c>
      <c r="F55" s="91">
        <v>5</v>
      </c>
      <c r="G55" s="93"/>
      <c r="H55" s="93"/>
      <c r="I55" s="93"/>
      <c r="J55" s="93"/>
      <c r="K55" s="93"/>
      <c r="L55" s="93"/>
      <c r="M55" s="93"/>
    </row>
    <row r="56" spans="1:13" ht="16.5" thickBot="1" x14ac:dyDescent="0.3">
      <c r="B56" s="111" t="s">
        <v>18</v>
      </c>
      <c r="C56" s="135">
        <v>0</v>
      </c>
      <c r="D56" s="135">
        <v>0</v>
      </c>
      <c r="E56" s="139">
        <v>0</v>
      </c>
      <c r="F56" s="135">
        <v>0</v>
      </c>
      <c r="G56" s="93"/>
      <c r="H56" s="93"/>
      <c r="I56" s="93"/>
      <c r="J56" s="93"/>
      <c r="K56" s="93"/>
      <c r="L56" s="93"/>
      <c r="M56" s="93"/>
    </row>
    <row r="57" spans="1:13" ht="21" hidden="1" customHeight="1" thickBot="1" x14ac:dyDescent="0.3">
      <c r="B57" s="107" t="s">
        <v>78</v>
      </c>
      <c r="C57" s="108"/>
      <c r="D57" s="109"/>
      <c r="E57" s="109"/>
      <c r="F57" s="110"/>
      <c r="G57" s="93"/>
      <c r="H57" s="93"/>
      <c r="I57" s="93"/>
      <c r="J57" s="93"/>
      <c r="K57" s="93"/>
      <c r="L57" s="93"/>
      <c r="M57" s="93"/>
    </row>
    <row r="58" spans="1:13" x14ac:dyDescent="0.25">
      <c r="A58" s="94"/>
      <c r="B58" s="27"/>
      <c r="C58" s="28"/>
      <c r="D58" s="28"/>
      <c r="E58" s="28"/>
      <c r="F58" s="28"/>
      <c r="M58" s="93"/>
    </row>
    <row r="59" spans="1:13" ht="16.5" hidden="1" thickBot="1" x14ac:dyDescent="0.3">
      <c r="A59" s="94"/>
      <c r="B59" s="27"/>
      <c r="C59" s="28"/>
      <c r="D59" s="28"/>
      <c r="E59" s="28"/>
      <c r="F59" s="28"/>
      <c r="M59" s="93"/>
    </row>
    <row r="60" spans="1:13" ht="23.25" hidden="1" customHeight="1" thickBot="1" x14ac:dyDescent="0.3">
      <c r="A60" s="94"/>
      <c r="B60" s="199" t="s">
        <v>88</v>
      </c>
      <c r="C60" s="200"/>
      <c r="D60" s="200"/>
      <c r="E60" s="200"/>
      <c r="F60" s="200"/>
      <c r="G60" s="200"/>
      <c r="H60" s="200"/>
      <c r="I60" s="200"/>
      <c r="J60" s="200"/>
      <c r="K60" s="201"/>
      <c r="M60" s="93"/>
    </row>
    <row r="61" spans="1:13" ht="19.5" hidden="1" customHeight="1" thickBot="1" x14ac:dyDescent="0.3">
      <c r="A61" s="94"/>
      <c r="B61" s="194" t="s">
        <v>13</v>
      </c>
      <c r="C61" s="194" t="s">
        <v>14</v>
      </c>
      <c r="D61" s="196" t="s">
        <v>15</v>
      </c>
      <c r="E61" s="197"/>
      <c r="F61" s="197"/>
      <c r="G61" s="198"/>
      <c r="H61" s="194" t="s">
        <v>81</v>
      </c>
      <c r="I61" s="194" t="s">
        <v>17</v>
      </c>
      <c r="J61" s="194" t="s">
        <v>90</v>
      </c>
      <c r="K61" s="194" t="s">
        <v>19</v>
      </c>
      <c r="M61" s="93"/>
    </row>
    <row r="62" spans="1:13" ht="35.1" hidden="1" customHeight="1" thickBot="1" x14ac:dyDescent="0.3">
      <c r="A62" s="94"/>
      <c r="B62" s="195"/>
      <c r="C62" s="195"/>
      <c r="D62" s="29" t="s">
        <v>2</v>
      </c>
      <c r="E62" s="29" t="s">
        <v>3</v>
      </c>
      <c r="F62" s="29" t="s">
        <v>4</v>
      </c>
      <c r="G62" s="29" t="s">
        <v>5</v>
      </c>
      <c r="H62" s="195"/>
      <c r="I62" s="195"/>
      <c r="J62" s="195"/>
      <c r="K62" s="195"/>
      <c r="M62" s="93"/>
    </row>
    <row r="63" spans="1:13" ht="16.5" hidden="1" thickBot="1" x14ac:dyDescent="0.3">
      <c r="A63" s="94"/>
      <c r="B63" s="30">
        <v>1</v>
      </c>
      <c r="C63" s="31">
        <v>2</v>
      </c>
      <c r="D63" s="31">
        <v>3</v>
      </c>
      <c r="E63" s="31">
        <v>4</v>
      </c>
      <c r="F63" s="31">
        <v>5</v>
      </c>
      <c r="G63" s="31">
        <v>6</v>
      </c>
      <c r="H63" s="31">
        <v>7</v>
      </c>
      <c r="I63" s="31">
        <v>8</v>
      </c>
      <c r="J63" s="31">
        <v>9</v>
      </c>
      <c r="K63" s="31">
        <v>10</v>
      </c>
      <c r="M63" s="93"/>
    </row>
    <row r="64" spans="1:13" ht="19.5" hidden="1" thickBot="1" x14ac:dyDescent="0.3">
      <c r="A64" s="94"/>
      <c r="B64" s="230" t="s">
        <v>79</v>
      </c>
      <c r="C64" s="231"/>
      <c r="D64" s="231"/>
      <c r="E64" s="231"/>
      <c r="F64" s="231"/>
      <c r="G64" s="231"/>
      <c r="H64" s="231"/>
      <c r="I64" s="231"/>
      <c r="J64" s="231"/>
      <c r="K64" s="232"/>
      <c r="M64" s="93"/>
    </row>
    <row r="65" spans="1:13" hidden="1" x14ac:dyDescent="0.25">
      <c r="A65" s="94"/>
      <c r="B65" s="32" t="s">
        <v>2</v>
      </c>
      <c r="C65" s="33">
        <f>D11+D12</f>
        <v>2061333.26</v>
      </c>
      <c r="D65" s="34">
        <v>20</v>
      </c>
      <c r="E65" s="34">
        <v>0</v>
      </c>
      <c r="F65" s="35">
        <v>0</v>
      </c>
      <c r="G65" s="153"/>
      <c r="H65" s="154"/>
      <c r="I65" s="36">
        <v>0</v>
      </c>
      <c r="J65" s="37">
        <v>1</v>
      </c>
      <c r="K65" s="38"/>
      <c r="M65" s="93"/>
    </row>
    <row r="66" spans="1:13" hidden="1" x14ac:dyDescent="0.25">
      <c r="A66" s="94"/>
      <c r="B66" s="39" t="s">
        <v>3</v>
      </c>
      <c r="C66" s="40">
        <f>E11</f>
        <v>722754.9</v>
      </c>
      <c r="D66" s="41"/>
      <c r="E66" s="42">
        <v>10</v>
      </c>
      <c r="F66" s="43"/>
      <c r="G66" s="156"/>
      <c r="H66" s="157"/>
      <c r="I66" s="44"/>
      <c r="J66" s="45">
        <v>1</v>
      </c>
      <c r="K66" s="46">
        <v>1900</v>
      </c>
      <c r="M66" s="93"/>
    </row>
    <row r="67" spans="1:13" hidden="1" x14ac:dyDescent="0.25">
      <c r="A67" s="94"/>
      <c r="B67" s="39" t="s">
        <v>4</v>
      </c>
      <c r="C67" s="40">
        <f>F11</f>
        <v>722754.9</v>
      </c>
      <c r="D67" s="41"/>
      <c r="E67" s="43"/>
      <c r="F67" s="47">
        <v>10</v>
      </c>
      <c r="G67" s="161"/>
      <c r="H67" s="157"/>
      <c r="I67" s="44"/>
      <c r="J67" s="45">
        <v>1</v>
      </c>
      <c r="K67" s="46">
        <v>1900</v>
      </c>
      <c r="M67" s="93"/>
    </row>
    <row r="68" spans="1:13" ht="16.5" hidden="1" thickBot="1" x14ac:dyDescent="0.3">
      <c r="A68" s="94"/>
      <c r="B68" s="48" t="s">
        <v>5</v>
      </c>
      <c r="C68" s="49">
        <f>G11+G12</f>
        <v>0</v>
      </c>
      <c r="D68" s="162"/>
      <c r="E68" s="163"/>
      <c r="F68" s="164"/>
      <c r="G68" s="50">
        <v>10</v>
      </c>
      <c r="H68" s="160"/>
      <c r="I68" s="51">
        <v>10</v>
      </c>
      <c r="J68" s="52">
        <v>1</v>
      </c>
      <c r="K68" s="53"/>
      <c r="M68" s="93"/>
    </row>
    <row r="69" spans="1:13" ht="19.5" hidden="1" thickBot="1" x14ac:dyDescent="0.3">
      <c r="A69" s="94"/>
      <c r="B69" s="168" t="s">
        <v>80</v>
      </c>
      <c r="C69" s="169"/>
      <c r="D69" s="170"/>
      <c r="E69" s="170"/>
      <c r="F69" s="170"/>
      <c r="G69" s="170"/>
      <c r="H69" s="170"/>
      <c r="I69" s="170"/>
      <c r="J69" s="170"/>
      <c r="K69" s="171"/>
      <c r="M69" s="93"/>
    </row>
    <row r="70" spans="1:13" hidden="1" x14ac:dyDescent="0.25">
      <c r="A70" s="94"/>
      <c r="B70" s="32" t="s">
        <v>2</v>
      </c>
      <c r="C70" s="33">
        <f>D14</f>
        <v>0</v>
      </c>
      <c r="D70" s="152"/>
      <c r="E70" s="153"/>
      <c r="F70" s="153"/>
      <c r="G70" s="153"/>
      <c r="H70" s="154"/>
      <c r="I70" s="54">
        <v>10</v>
      </c>
      <c r="J70" s="153"/>
      <c r="K70" s="165"/>
      <c r="M70" s="93"/>
    </row>
    <row r="71" spans="1:13" hidden="1" x14ac:dyDescent="0.25">
      <c r="A71" s="94"/>
      <c r="B71" s="39" t="s">
        <v>3</v>
      </c>
      <c r="C71" s="55">
        <f>E14</f>
        <v>0</v>
      </c>
      <c r="D71" s="155"/>
      <c r="E71" s="156"/>
      <c r="F71" s="156"/>
      <c r="G71" s="156"/>
      <c r="H71" s="157"/>
      <c r="I71" s="44">
        <v>10</v>
      </c>
      <c r="J71" s="156"/>
      <c r="K71" s="166"/>
      <c r="M71" s="93"/>
    </row>
    <row r="72" spans="1:13" hidden="1" x14ac:dyDescent="0.25">
      <c r="A72" s="94"/>
      <c r="B72" s="39" t="s">
        <v>4</v>
      </c>
      <c r="C72" s="55">
        <f>F14</f>
        <v>0</v>
      </c>
      <c r="D72" s="155"/>
      <c r="E72" s="156"/>
      <c r="F72" s="156"/>
      <c r="G72" s="156"/>
      <c r="H72" s="157"/>
      <c r="I72" s="44">
        <v>10</v>
      </c>
      <c r="J72" s="156"/>
      <c r="K72" s="166"/>
      <c r="M72" s="93"/>
    </row>
    <row r="73" spans="1:13" ht="16.5" hidden="1" thickBot="1" x14ac:dyDescent="0.3">
      <c r="A73" s="94"/>
      <c r="B73" s="48" t="s">
        <v>5</v>
      </c>
      <c r="C73" s="56">
        <f>G14</f>
        <v>0</v>
      </c>
      <c r="D73" s="158"/>
      <c r="E73" s="159"/>
      <c r="F73" s="159"/>
      <c r="G73" s="159"/>
      <c r="H73" s="160"/>
      <c r="I73" s="51">
        <v>10</v>
      </c>
      <c r="J73" s="159"/>
      <c r="K73" s="167"/>
      <c r="M73" s="93"/>
    </row>
    <row r="74" spans="1:13" s="93" customFormat="1" ht="16.5" thickBot="1" x14ac:dyDescent="0.3">
      <c r="A74" s="94"/>
      <c r="B74" s="114"/>
      <c r="C74" s="115"/>
      <c r="D74" s="115"/>
      <c r="E74" s="115"/>
      <c r="F74" s="115"/>
    </row>
    <row r="75" spans="1:13" s="93" customFormat="1" ht="19.5" thickBot="1" x14ac:dyDescent="0.3">
      <c r="A75" s="94"/>
      <c r="B75" s="233" t="s">
        <v>92</v>
      </c>
      <c r="C75" s="234"/>
      <c r="D75" s="234"/>
      <c r="E75" s="234"/>
      <c r="F75" s="234"/>
      <c r="G75" s="234"/>
      <c r="H75" s="235"/>
    </row>
    <row r="76" spans="1:13" ht="48.75" customHeight="1" thickBot="1" x14ac:dyDescent="0.3">
      <c r="B76" s="238" t="s">
        <v>95</v>
      </c>
      <c r="C76" s="236" t="s">
        <v>25</v>
      </c>
      <c r="D76" s="237"/>
      <c r="E76" s="236" t="s">
        <v>26</v>
      </c>
      <c r="F76" s="237"/>
      <c r="G76" s="236" t="s">
        <v>27</v>
      </c>
      <c r="H76" s="237"/>
      <c r="I76" s="93"/>
      <c r="J76" s="93"/>
      <c r="K76" s="93"/>
      <c r="L76" s="93"/>
      <c r="M76" s="93"/>
    </row>
    <row r="77" spans="1:13" ht="53.25" customHeight="1" thickBot="1" x14ac:dyDescent="0.3">
      <c r="B77" s="239"/>
      <c r="C77" s="92" t="s">
        <v>1</v>
      </c>
      <c r="D77" s="92" t="s">
        <v>7</v>
      </c>
      <c r="E77" s="92" t="s">
        <v>1</v>
      </c>
      <c r="F77" s="92" t="s">
        <v>7</v>
      </c>
      <c r="G77" s="92" t="s">
        <v>1</v>
      </c>
      <c r="H77" s="92" t="s">
        <v>7</v>
      </c>
      <c r="I77" s="93"/>
      <c r="J77" s="93"/>
      <c r="K77" s="93"/>
      <c r="L77" s="93"/>
      <c r="M77" s="93"/>
    </row>
    <row r="78" spans="1:13" s="93" customFormat="1" ht="16.5" thickBot="1" x14ac:dyDescent="0.3">
      <c r="B78" s="112">
        <v>1</v>
      </c>
      <c r="C78" s="112">
        <v>2</v>
      </c>
      <c r="D78" s="112">
        <v>3</v>
      </c>
      <c r="E78" s="112">
        <v>4</v>
      </c>
      <c r="F78" s="112">
        <v>5</v>
      </c>
      <c r="G78" s="112">
        <v>6</v>
      </c>
      <c r="H78" s="112">
        <v>7</v>
      </c>
    </row>
    <row r="79" spans="1:13" x14ac:dyDescent="0.25">
      <c r="B79" s="113"/>
      <c r="C79" s="136"/>
      <c r="D79" s="136"/>
      <c r="E79" s="136"/>
      <c r="F79" s="136"/>
      <c r="G79" s="136"/>
      <c r="H79" s="136"/>
      <c r="I79" s="93"/>
      <c r="J79" s="93"/>
      <c r="K79" s="93"/>
      <c r="L79" s="93"/>
      <c r="M79" s="93"/>
    </row>
    <row r="80" spans="1:13" x14ac:dyDescent="0.25">
      <c r="B80" s="113"/>
      <c r="C80" s="136"/>
      <c r="D80" s="136"/>
      <c r="E80" s="136"/>
      <c r="F80" s="136"/>
      <c r="G80" s="136"/>
      <c r="H80" s="136"/>
      <c r="I80" s="93"/>
      <c r="J80" s="93"/>
      <c r="K80" s="93"/>
      <c r="L80" s="93"/>
      <c r="M80" s="93"/>
    </row>
    <row r="81" spans="2:13" x14ac:dyDescent="0.25">
      <c r="B81" s="113"/>
      <c r="C81" s="136"/>
      <c r="D81" s="136"/>
      <c r="E81" s="136"/>
      <c r="F81" s="136"/>
      <c r="G81" s="136"/>
      <c r="H81" s="136"/>
      <c r="I81" s="93"/>
      <c r="J81" s="93"/>
      <c r="K81" s="93"/>
      <c r="L81" s="93"/>
      <c r="M81" s="93"/>
    </row>
    <row r="82" spans="2:13" x14ac:dyDescent="0.25">
      <c r="B82" s="113"/>
      <c r="C82" s="136"/>
      <c r="D82" s="136"/>
      <c r="E82" s="136"/>
      <c r="F82" s="136"/>
      <c r="G82" s="136"/>
      <c r="H82" s="136"/>
      <c r="I82" s="93"/>
      <c r="J82" s="93"/>
      <c r="K82" s="93"/>
      <c r="L82" s="93"/>
      <c r="M82" s="93"/>
    </row>
    <row r="83" spans="2:13" x14ac:dyDescent="0.25">
      <c r="B83" s="113"/>
      <c r="C83" s="136"/>
      <c r="D83" s="136"/>
      <c r="E83" s="136"/>
      <c r="F83" s="136"/>
      <c r="G83" s="136"/>
      <c r="H83" s="136"/>
      <c r="I83" s="93"/>
      <c r="J83" s="93"/>
      <c r="K83" s="93"/>
      <c r="L83" s="93"/>
      <c r="M83" s="93"/>
    </row>
    <row r="84" spans="2:13" x14ac:dyDescent="0.25">
      <c r="B84" s="113"/>
      <c r="C84" s="136"/>
      <c r="D84" s="136"/>
      <c r="E84" s="136"/>
      <c r="F84" s="136"/>
      <c r="G84" s="136"/>
      <c r="H84" s="136"/>
      <c r="I84" s="93"/>
      <c r="J84" s="93"/>
      <c r="K84" s="93"/>
      <c r="L84" s="93"/>
      <c r="M84" s="93"/>
    </row>
    <row r="85" spans="2:13" x14ac:dyDescent="0.25">
      <c r="B85" s="113"/>
      <c r="C85" s="136"/>
      <c r="D85" s="136"/>
      <c r="E85" s="136"/>
      <c r="F85" s="136"/>
      <c r="G85" s="136"/>
      <c r="H85" s="136"/>
      <c r="I85" s="93"/>
      <c r="J85" s="93"/>
      <c r="K85" s="93"/>
      <c r="L85" s="93"/>
      <c r="M85" s="93"/>
    </row>
    <row r="86" spans="2:13" x14ac:dyDescent="0.25">
      <c r="B86" s="113"/>
      <c r="C86" s="136"/>
      <c r="D86" s="136"/>
      <c r="E86" s="136"/>
      <c r="F86" s="136"/>
      <c r="G86" s="136"/>
      <c r="H86" s="136"/>
      <c r="I86" s="93"/>
      <c r="J86" s="93"/>
      <c r="K86" s="93"/>
      <c r="L86" s="93"/>
      <c r="M86" s="93"/>
    </row>
    <row r="87" spans="2:13" x14ac:dyDescent="0.25">
      <c r="B87" s="113"/>
      <c r="C87" s="136"/>
      <c r="D87" s="136"/>
      <c r="E87" s="136"/>
      <c r="F87" s="136"/>
      <c r="G87" s="136"/>
      <c r="H87" s="136"/>
      <c r="I87" s="93"/>
      <c r="J87" s="93"/>
      <c r="K87" s="93"/>
      <c r="L87" s="93"/>
      <c r="M87" s="93"/>
    </row>
    <row r="88" spans="2:13" x14ac:dyDescent="0.25">
      <c r="B88" s="113"/>
      <c r="C88" s="136"/>
      <c r="D88" s="136"/>
      <c r="E88" s="136"/>
      <c r="F88" s="136"/>
      <c r="G88" s="136"/>
      <c r="H88" s="136"/>
      <c r="I88" s="93"/>
      <c r="J88" s="93"/>
      <c r="K88" s="93"/>
      <c r="L88" s="93"/>
      <c r="M88" s="93"/>
    </row>
    <row r="89" spans="2:13" x14ac:dyDescent="0.25">
      <c r="B89" s="113"/>
      <c r="C89" s="136"/>
      <c r="D89" s="136"/>
      <c r="E89" s="136"/>
      <c r="F89" s="136"/>
      <c r="G89" s="136"/>
      <c r="H89" s="136"/>
      <c r="I89" s="93"/>
      <c r="J89" s="93"/>
      <c r="K89" s="93"/>
      <c r="L89" s="93"/>
      <c r="M89" s="93"/>
    </row>
    <row r="90" spans="2:13" x14ac:dyDescent="0.25">
      <c r="B90" s="113"/>
      <c r="C90" s="136"/>
      <c r="D90" s="136"/>
      <c r="E90" s="136"/>
      <c r="F90" s="136"/>
      <c r="G90" s="136"/>
      <c r="H90" s="136"/>
      <c r="I90" s="93"/>
      <c r="J90" s="93"/>
      <c r="K90" s="93"/>
      <c r="L90" s="93"/>
      <c r="M90" s="93"/>
    </row>
    <row r="91" spans="2:13" x14ac:dyDescent="0.25">
      <c r="B91" s="113"/>
      <c r="C91" s="136"/>
      <c r="D91" s="136"/>
      <c r="E91" s="136"/>
      <c r="F91" s="136"/>
      <c r="G91" s="136"/>
      <c r="H91" s="136"/>
      <c r="I91" s="93"/>
      <c r="J91" s="93"/>
      <c r="K91" s="93"/>
      <c r="L91" s="93"/>
      <c r="M91" s="93"/>
    </row>
    <row r="92" spans="2:13" x14ac:dyDescent="0.25">
      <c r="B92" s="113"/>
      <c r="C92" s="136"/>
      <c r="D92" s="136"/>
      <c r="E92" s="136"/>
      <c r="F92" s="136"/>
      <c r="G92" s="136"/>
      <c r="H92" s="136"/>
      <c r="I92" s="93"/>
      <c r="J92" s="93"/>
      <c r="K92" s="93"/>
      <c r="L92" s="93"/>
      <c r="M92" s="93"/>
    </row>
    <row r="93" spans="2:13" x14ac:dyDescent="0.25">
      <c r="B93" s="113"/>
      <c r="C93" s="136"/>
      <c r="D93" s="136"/>
      <c r="E93" s="136"/>
      <c r="F93" s="136"/>
      <c r="G93" s="136"/>
      <c r="H93" s="136"/>
      <c r="I93" s="93"/>
      <c r="J93" s="93"/>
      <c r="K93" s="93"/>
      <c r="L93" s="93"/>
      <c r="M93" s="93"/>
    </row>
    <row r="94" spans="2:13" x14ac:dyDescent="0.25">
      <c r="B94" s="113"/>
      <c r="C94" s="136"/>
      <c r="D94" s="136"/>
      <c r="E94" s="136"/>
      <c r="F94" s="136"/>
      <c r="G94" s="136"/>
      <c r="H94" s="136"/>
      <c r="I94" s="93"/>
      <c r="J94" s="93"/>
      <c r="K94" s="93"/>
      <c r="L94" s="93"/>
      <c r="M94" s="93"/>
    </row>
    <row r="95" spans="2:13" x14ac:dyDescent="0.25">
      <c r="B95" s="113"/>
      <c r="C95" s="136"/>
      <c r="D95" s="136"/>
      <c r="E95" s="136"/>
      <c r="F95" s="136"/>
      <c r="G95" s="136"/>
      <c r="H95" s="136"/>
      <c r="I95" s="93"/>
      <c r="J95" s="93"/>
      <c r="K95" s="93"/>
      <c r="L95" s="93"/>
      <c r="M95" s="93"/>
    </row>
    <row r="96" spans="2:13" x14ac:dyDescent="0.25">
      <c r="B96" s="113"/>
      <c r="C96" s="136"/>
      <c r="D96" s="136"/>
      <c r="E96" s="136"/>
      <c r="F96" s="136"/>
      <c r="G96" s="136"/>
      <c r="H96" s="136"/>
      <c r="I96" s="93"/>
      <c r="J96" s="93"/>
      <c r="K96" s="93"/>
      <c r="L96" s="93"/>
      <c r="M96" s="93"/>
    </row>
    <row r="97" spans="2:13" x14ac:dyDescent="0.25">
      <c r="B97" s="113"/>
      <c r="C97" s="136"/>
      <c r="D97" s="136"/>
      <c r="E97" s="136"/>
      <c r="F97" s="136"/>
      <c r="G97" s="136"/>
      <c r="H97" s="136"/>
      <c r="I97" s="93"/>
      <c r="J97" s="93"/>
      <c r="K97" s="93"/>
      <c r="L97" s="93"/>
      <c r="M97" s="93"/>
    </row>
    <row r="98" spans="2:13" x14ac:dyDescent="0.25">
      <c r="B98" s="113"/>
      <c r="C98" s="136"/>
      <c r="D98" s="136"/>
      <c r="E98" s="136"/>
      <c r="F98" s="136"/>
      <c r="G98" s="136"/>
      <c r="H98" s="136"/>
      <c r="I98" s="93"/>
      <c r="J98" s="93"/>
      <c r="K98" s="93"/>
      <c r="L98" s="93"/>
      <c r="M98" s="93"/>
    </row>
    <row r="99" spans="2:13" x14ac:dyDescent="0.25">
      <c r="B99" s="113"/>
      <c r="C99" s="136"/>
      <c r="D99" s="136"/>
      <c r="E99" s="136"/>
      <c r="F99" s="136"/>
      <c r="G99" s="136"/>
      <c r="H99" s="136"/>
      <c r="I99" s="93"/>
      <c r="J99" s="93"/>
      <c r="K99" s="93"/>
      <c r="L99" s="93"/>
      <c r="M99" s="93"/>
    </row>
    <row r="100" spans="2:13" x14ac:dyDescent="0.25">
      <c r="B100" s="113"/>
      <c r="C100" s="136"/>
      <c r="D100" s="136"/>
      <c r="E100" s="136"/>
      <c r="F100" s="136"/>
      <c r="G100" s="136"/>
      <c r="H100" s="136"/>
      <c r="I100" s="93"/>
      <c r="J100" s="93"/>
      <c r="K100" s="93"/>
      <c r="L100" s="93"/>
      <c r="M100" s="93"/>
    </row>
    <row r="101" spans="2:13" x14ac:dyDescent="0.25">
      <c r="B101" s="113"/>
      <c r="C101" s="136"/>
      <c r="D101" s="136"/>
      <c r="E101" s="136"/>
      <c r="F101" s="136"/>
      <c r="G101" s="136"/>
      <c r="H101" s="136"/>
      <c r="I101" s="93"/>
      <c r="J101" s="93"/>
      <c r="K101" s="93"/>
      <c r="L101" s="93"/>
      <c r="M101" s="93"/>
    </row>
    <row r="102" spans="2:13" x14ac:dyDescent="0.25">
      <c r="B102" s="113"/>
      <c r="C102" s="136"/>
      <c r="D102" s="136"/>
      <c r="E102" s="136"/>
      <c r="F102" s="136"/>
      <c r="G102" s="136"/>
      <c r="H102" s="136"/>
      <c r="I102" s="93"/>
      <c r="J102" s="93"/>
      <c r="K102" s="93"/>
      <c r="L102" s="93"/>
      <c r="M102" s="93"/>
    </row>
    <row r="103" spans="2:13" x14ac:dyDescent="0.25">
      <c r="B103" s="113"/>
      <c r="C103" s="136"/>
      <c r="D103" s="136"/>
      <c r="E103" s="136"/>
      <c r="F103" s="136"/>
      <c r="G103" s="136"/>
      <c r="H103" s="136"/>
      <c r="I103" s="93"/>
      <c r="J103" s="93"/>
      <c r="K103" s="93"/>
      <c r="L103" s="93"/>
      <c r="M103" s="93"/>
    </row>
    <row r="104" spans="2:13" x14ac:dyDescent="0.25">
      <c r="B104" s="113"/>
      <c r="C104" s="136"/>
      <c r="D104" s="136"/>
      <c r="E104" s="136"/>
      <c r="F104" s="136"/>
      <c r="G104" s="136"/>
      <c r="H104" s="136"/>
      <c r="I104" s="93"/>
      <c r="J104" s="93"/>
      <c r="K104" s="93"/>
      <c r="L104" s="93"/>
      <c r="M104" s="93"/>
    </row>
    <row r="105" spans="2:13" x14ac:dyDescent="0.25">
      <c r="B105" s="113"/>
      <c r="C105" s="136"/>
      <c r="D105" s="136"/>
      <c r="E105" s="136"/>
      <c r="F105" s="136"/>
      <c r="G105" s="136"/>
      <c r="H105" s="136"/>
      <c r="I105" s="93"/>
      <c r="J105" s="93"/>
      <c r="K105" s="93"/>
      <c r="L105" s="93"/>
      <c r="M105" s="93"/>
    </row>
    <row r="106" spans="2:13" x14ac:dyDescent="0.25">
      <c r="B106" s="113"/>
      <c r="C106" s="136"/>
      <c r="D106" s="136"/>
      <c r="E106" s="136"/>
      <c r="F106" s="136"/>
      <c r="G106" s="136"/>
      <c r="H106" s="136"/>
      <c r="I106" s="93"/>
      <c r="J106" s="93"/>
      <c r="K106" s="93"/>
      <c r="L106" s="93"/>
      <c r="M106" s="93"/>
    </row>
    <row r="107" spans="2:13" x14ac:dyDescent="0.25">
      <c r="B107" s="113"/>
      <c r="C107" s="136"/>
      <c r="D107" s="136"/>
      <c r="E107" s="136"/>
      <c r="F107" s="136"/>
      <c r="G107" s="136"/>
      <c r="H107" s="136"/>
      <c r="I107" s="93"/>
      <c r="J107" s="93"/>
      <c r="K107" s="93"/>
      <c r="L107" s="93"/>
      <c r="M107" s="93"/>
    </row>
    <row r="108" spans="2:13" x14ac:dyDescent="0.25">
      <c r="B108" s="113"/>
      <c r="C108" s="136"/>
      <c r="D108" s="136"/>
      <c r="E108" s="136"/>
      <c r="F108" s="136"/>
      <c r="G108" s="136"/>
      <c r="H108" s="136"/>
      <c r="I108" s="93"/>
      <c r="J108" s="93"/>
      <c r="K108" s="93"/>
      <c r="L108" s="93"/>
      <c r="M108" s="93"/>
    </row>
    <row r="109" spans="2:13" x14ac:dyDescent="0.25">
      <c r="B109" s="113"/>
      <c r="C109" s="136"/>
      <c r="D109" s="136"/>
      <c r="E109" s="136"/>
      <c r="F109" s="136"/>
      <c r="G109" s="136"/>
      <c r="H109" s="136"/>
      <c r="I109" s="93"/>
      <c r="J109" s="93"/>
      <c r="K109" s="93"/>
      <c r="L109" s="93"/>
      <c r="M109" s="93"/>
    </row>
    <row r="110" spans="2:13" x14ac:dyDescent="0.25">
      <c r="B110" s="113"/>
      <c r="C110" s="136"/>
      <c r="D110" s="136"/>
      <c r="E110" s="136"/>
      <c r="F110" s="136"/>
      <c r="G110" s="136"/>
      <c r="H110" s="136"/>
      <c r="I110" s="93"/>
      <c r="J110" s="93"/>
      <c r="K110" s="93"/>
      <c r="L110" s="93"/>
      <c r="M110" s="93"/>
    </row>
    <row r="111" spans="2:13" x14ac:dyDescent="0.25">
      <c r="B111" s="113"/>
      <c r="C111" s="136"/>
      <c r="D111" s="136"/>
      <c r="E111" s="136"/>
      <c r="F111" s="136"/>
      <c r="G111" s="136"/>
      <c r="H111" s="136"/>
      <c r="I111" s="93"/>
      <c r="J111" s="93"/>
      <c r="K111" s="93"/>
      <c r="L111" s="93"/>
      <c r="M111" s="93"/>
    </row>
    <row r="112" spans="2:13" x14ac:dyDescent="0.25">
      <c r="B112" s="113"/>
      <c r="C112" s="136"/>
      <c r="D112" s="136"/>
      <c r="E112" s="136"/>
      <c r="F112" s="136"/>
      <c r="G112" s="136"/>
      <c r="H112" s="136"/>
      <c r="I112" s="93"/>
      <c r="J112" s="93"/>
      <c r="K112" s="93"/>
      <c r="L112" s="93"/>
      <c r="M112" s="93"/>
    </row>
    <row r="113" spans="2:13" x14ac:dyDescent="0.25">
      <c r="B113" s="113"/>
      <c r="C113" s="136"/>
      <c r="D113" s="136"/>
      <c r="E113" s="136"/>
      <c r="F113" s="136"/>
      <c r="G113" s="136"/>
      <c r="H113" s="136"/>
      <c r="I113" s="93"/>
      <c r="J113" s="93"/>
      <c r="K113" s="93"/>
      <c r="L113" s="93"/>
      <c r="M113" s="93"/>
    </row>
    <row r="114" spans="2:13" x14ac:dyDescent="0.25">
      <c r="B114" s="113"/>
      <c r="C114" s="136"/>
      <c r="D114" s="136"/>
      <c r="E114" s="136"/>
      <c r="F114" s="136"/>
      <c r="G114" s="136"/>
      <c r="H114" s="136"/>
      <c r="I114" s="93"/>
      <c r="J114" s="93"/>
      <c r="K114" s="93"/>
      <c r="L114" s="93"/>
      <c r="M114" s="93"/>
    </row>
    <row r="115" spans="2:13" ht="16.5" thickBot="1" x14ac:dyDescent="0.3">
      <c r="B115" s="113"/>
      <c r="C115" s="136"/>
      <c r="D115" s="136"/>
      <c r="E115" s="136"/>
      <c r="F115" s="136"/>
      <c r="G115" s="136"/>
      <c r="H115" s="136"/>
      <c r="I115" s="93"/>
      <c r="J115" s="93"/>
      <c r="K115" s="93"/>
      <c r="L115" s="93"/>
      <c r="M115" s="93"/>
    </row>
    <row r="116" spans="2:13" ht="16.5" thickBot="1" x14ac:dyDescent="0.3">
      <c r="B116" s="106" t="s">
        <v>93</v>
      </c>
      <c r="C116" s="137">
        <f t="shared" ref="C116:H116" si="0">SUM(C79:C115)</f>
        <v>0</v>
      </c>
      <c r="D116" s="137">
        <f t="shared" si="0"/>
        <v>0</v>
      </c>
      <c r="E116" s="137">
        <f t="shared" si="0"/>
        <v>0</v>
      </c>
      <c r="F116" s="137">
        <f t="shared" si="0"/>
        <v>0</v>
      </c>
      <c r="G116" s="137">
        <f t="shared" si="0"/>
        <v>0</v>
      </c>
      <c r="H116" s="138">
        <f t="shared" si="0"/>
        <v>0</v>
      </c>
      <c r="I116" s="93"/>
      <c r="J116" s="93"/>
      <c r="K116" s="93"/>
      <c r="L116" s="93"/>
      <c r="M116" s="93"/>
    </row>
    <row r="117" spans="2:13" s="93" customFormat="1" x14ac:dyDescent="0.25">
      <c r="B117" s="96"/>
    </row>
    <row r="118" spans="2:13" s="93" customFormat="1" x14ac:dyDescent="0.25"/>
  </sheetData>
  <sheetProtection password="F421" sheet="1" objects="1" scenarios="1"/>
  <mergeCells count="51">
    <mergeCell ref="B64:K64"/>
    <mergeCell ref="B75:H75"/>
    <mergeCell ref="C76:D76"/>
    <mergeCell ref="E76:F76"/>
    <mergeCell ref="G76:H76"/>
    <mergeCell ref="B76:B77"/>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1:B62"/>
    <mergeCell ref="C61:C62"/>
    <mergeCell ref="D61:G61"/>
    <mergeCell ref="H61:H62"/>
    <mergeCell ref="B60:K60"/>
    <mergeCell ref="I61:I62"/>
    <mergeCell ref="J61:J62"/>
    <mergeCell ref="K61:K62"/>
    <mergeCell ref="B40:C40"/>
    <mergeCell ref="B43:K43"/>
    <mergeCell ref="B53:F53"/>
    <mergeCell ref="H47:H50"/>
    <mergeCell ref="J44:J45"/>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s>
  <dataValidations count="10">
    <dataValidation type="list" showInputMessage="1" showErrorMessage="1" sqref="G6">
      <formula1>"April, May, June, July, August, September, October, November, December, January, February, March"</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F32:F33 C22:C26 D24:D26 D39:E40 E29 F22:F26 C28:D29 F28:F29 C32:D33 C56:D56 F56">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28 E32 E33 E56">
      <formula1>0</formula1>
      <formula2>9999999999999.99</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14:formula1>
            <xm:f>Sheet1!$A$1:$A$4</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4"/>
  <sheetViews>
    <sheetView workbookViewId="0">
      <selection activeCell="E10" sqref="E10"/>
    </sheetView>
  </sheetViews>
  <sheetFormatPr defaultRowHeight="15" x14ac:dyDescent="0.25"/>
  <sheetData>
    <row r="1" spans="1:1" x14ac:dyDescent="0.25">
      <c r="A1" t="s">
        <v>106</v>
      </c>
    </row>
    <row r="2" spans="1:1" x14ac:dyDescent="0.25">
      <c r="A2" t="s">
        <v>105</v>
      </c>
    </row>
    <row r="3" spans="1:1" x14ac:dyDescent="0.25">
      <c r="A3" t="s">
        <v>107</v>
      </c>
    </row>
    <row r="4" spans="1:1" x14ac:dyDescent="0.25">
      <c r="A4" t="s">
        <v>108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9"/>
  <sheetViews>
    <sheetView topLeftCell="A28" workbookViewId="0">
      <selection activeCell="A42" sqref="A42"/>
    </sheetView>
  </sheetViews>
  <sheetFormatPr defaultRowHeight="15" x14ac:dyDescent="0.25"/>
  <cols>
    <col min="1" max="1" width="39.28515625" customWidth="1"/>
    <col min="2" max="2" width="26.140625" bestFit="1" customWidth="1"/>
    <col min="3" max="3" width="53.28515625" bestFit="1" customWidth="1"/>
    <col min="21" max="21" width="6.140625" style="105" bestFit="1" customWidth="1"/>
  </cols>
  <sheetData>
    <row r="1" spans="1:21" x14ac:dyDescent="0.25">
      <c r="A1" s="3" t="s">
        <v>71</v>
      </c>
    </row>
    <row r="2" spans="1:21" x14ac:dyDescent="0.25">
      <c r="A2" s="1" t="s">
        <v>36</v>
      </c>
      <c r="B2">
        <f>IF(COUNTIF('GSTR-3B'!$B$79:$B$115,A2)&gt;=1,"",ROW())</f>
        <v>2</v>
      </c>
      <c r="C2" t="str">
        <f t="array" ref="C2:C39" ca="1">IF(ROW(A2:A39)-ROW(A2)+1&gt;COUNT(B2:B39),"", INDEX(A:A,SMALL(B2:B39,ROW(INDIRECT("1:"&amp;ROWS(A2:A39))))))</f>
        <v>01-Jammu &amp; Kashmir</v>
      </c>
    </row>
    <row r="3" spans="1:21" x14ac:dyDescent="0.25">
      <c r="A3" s="1" t="s">
        <v>37</v>
      </c>
      <c r="B3">
        <f>IF(COUNTIF('GSTR-3B'!$B$79:$B$115,A3)&gt;=1,"",ROW())</f>
        <v>3</v>
      </c>
      <c r="C3" t="str">
        <f ca="1"/>
        <v>02-Himachal Pradesh</v>
      </c>
      <c r="U3" s="104">
        <f>SUM('GSTR-3B'!D79:D115)+SUM('GSTR-3B'!F79:F115)+SUM('GSTR-3B'!H79:H115)</f>
        <v>0</v>
      </c>
    </row>
    <row r="4" spans="1:21" x14ac:dyDescent="0.25">
      <c r="A4" s="1" t="s">
        <v>38</v>
      </c>
      <c r="B4">
        <f>IF(COUNTIF('GSTR-3B'!$B$79:$B$115,A4)&gt;=1,"",ROW())</f>
        <v>4</v>
      </c>
      <c r="C4" t="str">
        <f ca="1"/>
        <v>03-Punjab</v>
      </c>
      <c r="U4" s="105" t="b">
        <f>IF('GSTR-3B'!C56 = 'GSTR-3B'!J65,)</f>
        <v>0</v>
      </c>
    </row>
    <row r="5" spans="1:21" x14ac:dyDescent="0.25">
      <c r="A5" s="1" t="s">
        <v>39</v>
      </c>
      <c r="B5">
        <f>IF(COUNTIF('GSTR-3B'!$B$79:$B$115,A5)&gt;=1,"",ROW())</f>
        <v>5</v>
      </c>
      <c r="C5" t="str">
        <f ca="1"/>
        <v>04-Chandigarh</v>
      </c>
      <c r="U5" s="105" t="b">
        <f>IF('GSTR-3B'!D56 = 'GSTR-3B'!J66,)</f>
        <v>0</v>
      </c>
    </row>
    <row r="6" spans="1:21" x14ac:dyDescent="0.25">
      <c r="A6" s="1" t="s">
        <v>40</v>
      </c>
      <c r="B6">
        <f>IF(COUNTIF('GSTR-3B'!$B$79:$B$115,A6)&gt;=1,"",ROW())</f>
        <v>6</v>
      </c>
      <c r="C6" t="str">
        <f ca="1"/>
        <v>05-Uttarakhand</v>
      </c>
      <c r="U6" s="105" t="b">
        <f>IF('GSTR-3B'!E56 = 'GSTR-3B'!J67,)</f>
        <v>0</v>
      </c>
    </row>
    <row r="7" spans="1:21" x14ac:dyDescent="0.25">
      <c r="A7" s="1" t="s">
        <v>41</v>
      </c>
      <c r="B7">
        <f>IF(COUNTIF('GSTR-3B'!$B$79:$B$115,A7)&gt;=1,"",ROW())</f>
        <v>7</v>
      </c>
      <c r="C7" t="str">
        <f ca="1"/>
        <v>06-Haryana</v>
      </c>
      <c r="U7" s="105" t="b">
        <f>IF('GSTR-3B'!F56 = 'GSTR-3B'!J68,)</f>
        <v>0</v>
      </c>
    </row>
    <row r="8" spans="1:21" x14ac:dyDescent="0.25">
      <c r="A8" s="1" t="s">
        <v>42</v>
      </c>
      <c r="B8">
        <f>IF(COUNTIF('GSTR-3B'!$B$79:$B$115,A8)&gt;=1,"",ROW())</f>
        <v>8</v>
      </c>
      <c r="C8" t="str">
        <f ca="1"/>
        <v>07-Delhi</v>
      </c>
    </row>
    <row r="9" spans="1:21" x14ac:dyDescent="0.25">
      <c r="A9" s="1" t="s">
        <v>43</v>
      </c>
      <c r="B9">
        <f>IF(COUNTIF('GSTR-3B'!$B$79:$B$115,A9)&gt;=1,"",ROW())</f>
        <v>9</v>
      </c>
      <c r="C9" t="str">
        <f ca="1"/>
        <v>08-Rajasthan</v>
      </c>
    </row>
    <row r="10" spans="1:21" x14ac:dyDescent="0.25">
      <c r="A10" s="1" t="s">
        <v>44</v>
      </c>
      <c r="B10">
        <f>IF(COUNTIF('GSTR-3B'!$B$79:$B$115,A10)&gt;=1,"",ROW())</f>
        <v>10</v>
      </c>
      <c r="C10" t="str">
        <f ca="1"/>
        <v>09-Uttar Pradesh</v>
      </c>
    </row>
    <row r="11" spans="1:21" x14ac:dyDescent="0.25">
      <c r="A11" s="1" t="s">
        <v>45</v>
      </c>
      <c r="B11">
        <f>IF(COUNTIF('GSTR-3B'!$B$79:$B$115,A11)&gt;=1,"",ROW())</f>
        <v>11</v>
      </c>
      <c r="C11" t="str">
        <f ca="1"/>
        <v>10-Bihar</v>
      </c>
    </row>
    <row r="12" spans="1:21" x14ac:dyDescent="0.25">
      <c r="A12" s="1" t="s">
        <v>46</v>
      </c>
      <c r="B12">
        <f>IF(COUNTIF('GSTR-3B'!$B$79:$B$115,A12)&gt;=1,"",ROW())</f>
        <v>12</v>
      </c>
      <c r="C12" t="str">
        <f ca="1"/>
        <v>11-Sikkim</v>
      </c>
    </row>
    <row r="13" spans="1:21" x14ac:dyDescent="0.25">
      <c r="A13" s="1" t="s">
        <v>47</v>
      </c>
      <c r="B13">
        <f>IF(COUNTIF('GSTR-3B'!$B$79:$B$115,A13)&gt;=1,"",ROW())</f>
        <v>13</v>
      </c>
      <c r="C13" t="str">
        <f ca="1"/>
        <v>12-Arunachal Pradesh</v>
      </c>
    </row>
    <row r="14" spans="1:21" x14ac:dyDescent="0.25">
      <c r="A14" s="1" t="s">
        <v>48</v>
      </c>
      <c r="B14">
        <f>IF(COUNTIF('GSTR-3B'!$B$79:$B$115,A14)&gt;=1,"",ROW())</f>
        <v>14</v>
      </c>
      <c r="C14" t="str">
        <f ca="1"/>
        <v>13-Nagaland</v>
      </c>
    </row>
    <row r="15" spans="1:21" x14ac:dyDescent="0.25">
      <c r="A15" s="1" t="s">
        <v>49</v>
      </c>
      <c r="B15">
        <f>IF(COUNTIF('GSTR-3B'!$B$79:$B$115,A15)&gt;=1,"",ROW())</f>
        <v>15</v>
      </c>
      <c r="C15" t="str">
        <f ca="1"/>
        <v>14-Manipur</v>
      </c>
    </row>
    <row r="16" spans="1:21" x14ac:dyDescent="0.25">
      <c r="A16" s="1" t="s">
        <v>50</v>
      </c>
      <c r="B16">
        <f>IF(COUNTIF('GSTR-3B'!$B$79:$B$115,A16)&gt;=1,"",ROW())</f>
        <v>16</v>
      </c>
      <c r="C16" t="str">
        <f ca="1"/>
        <v>15-Mizoram</v>
      </c>
    </row>
    <row r="17" spans="1:3" x14ac:dyDescent="0.25">
      <c r="A17" s="1" t="s">
        <v>51</v>
      </c>
      <c r="B17">
        <f>IF(COUNTIF('GSTR-3B'!$B$79:$B$115,A17)&gt;=1,"",ROW())</f>
        <v>17</v>
      </c>
      <c r="C17" t="str">
        <f ca="1"/>
        <v>16-Tripura</v>
      </c>
    </row>
    <row r="18" spans="1:3" x14ac:dyDescent="0.25">
      <c r="A18" s="1" t="s">
        <v>52</v>
      </c>
      <c r="B18">
        <f>IF(COUNTIF('GSTR-3B'!$B$79:$B$115,A18)&gt;=1,"",ROW())</f>
        <v>18</v>
      </c>
      <c r="C18" t="str">
        <f ca="1"/>
        <v>17-Meghalaya</v>
      </c>
    </row>
    <row r="19" spans="1:3" x14ac:dyDescent="0.25">
      <c r="A19" s="1" t="s">
        <v>53</v>
      </c>
      <c r="B19">
        <f>IF(COUNTIF('GSTR-3B'!$B$79:$B$115,A19)&gt;=1,"",ROW())</f>
        <v>19</v>
      </c>
      <c r="C19" t="str">
        <f ca="1"/>
        <v>18-Assam</v>
      </c>
    </row>
    <row r="20" spans="1:3" x14ac:dyDescent="0.25">
      <c r="A20" s="1" t="s">
        <v>54</v>
      </c>
      <c r="B20">
        <f>IF(COUNTIF('GSTR-3B'!$B$79:$B$115,A20)&gt;=1,"",ROW())</f>
        <v>20</v>
      </c>
      <c r="C20" t="str">
        <f ca="1"/>
        <v>19-West Bengal</v>
      </c>
    </row>
    <row r="21" spans="1:3" x14ac:dyDescent="0.25">
      <c r="A21" s="1" t="s">
        <v>55</v>
      </c>
      <c r="B21">
        <f>IF(COUNTIF('GSTR-3B'!$B$79:$B$115,A21)&gt;=1,"",ROW())</f>
        <v>21</v>
      </c>
      <c r="C21" t="str">
        <f ca="1"/>
        <v>20-Jharkhand</v>
      </c>
    </row>
    <row r="22" spans="1:3" x14ac:dyDescent="0.25">
      <c r="A22" s="1" t="s">
        <v>56</v>
      </c>
      <c r="B22">
        <f>IF(COUNTIF('GSTR-3B'!$B$79:$B$115,A22)&gt;=1,"",ROW())</f>
        <v>22</v>
      </c>
      <c r="C22" t="str">
        <f ca="1"/>
        <v>21-Odisha</v>
      </c>
    </row>
    <row r="23" spans="1:3" x14ac:dyDescent="0.25">
      <c r="A23" s="1" t="s">
        <v>57</v>
      </c>
      <c r="B23">
        <f>IF(COUNTIF('GSTR-3B'!$B$79:$B$115,A23)&gt;=1,"",ROW())</f>
        <v>23</v>
      </c>
      <c r="C23" t="str">
        <f ca="1"/>
        <v>22-Chhattisgarh</v>
      </c>
    </row>
    <row r="24" spans="1:3" x14ac:dyDescent="0.25">
      <c r="A24" s="1" t="s">
        <v>58</v>
      </c>
      <c r="B24">
        <f>IF(COUNTIF('GSTR-3B'!$B$79:$B$115,A24)&gt;=1,"",ROW())</f>
        <v>24</v>
      </c>
      <c r="C24" t="str">
        <f ca="1"/>
        <v>23-Madhya Pradesh</v>
      </c>
    </row>
    <row r="25" spans="1:3" x14ac:dyDescent="0.25">
      <c r="A25" s="1" t="s">
        <v>59</v>
      </c>
      <c r="B25">
        <f>IF(COUNTIF('GSTR-3B'!$B$79:$B$115,A25)&gt;=1,"",ROW())</f>
        <v>25</v>
      </c>
      <c r="C25" t="str">
        <f ca="1"/>
        <v>24-Gujarat</v>
      </c>
    </row>
    <row r="26" spans="1:3" x14ac:dyDescent="0.25">
      <c r="A26" s="1" t="s">
        <v>60</v>
      </c>
      <c r="B26">
        <f>IF(COUNTIF('GSTR-3B'!$B$79:$B$115,A26)&gt;=1,"",ROW())</f>
        <v>26</v>
      </c>
      <c r="C26" t="str">
        <f ca="1"/>
        <v>25-Daman &amp; Diu</v>
      </c>
    </row>
    <row r="27" spans="1:3" x14ac:dyDescent="0.25">
      <c r="A27" s="1" t="s">
        <v>61</v>
      </c>
      <c r="B27">
        <f>IF(COUNTIF('GSTR-3B'!$B$79:$B$115,A27)&gt;=1,"",ROW())</f>
        <v>27</v>
      </c>
      <c r="C27" t="str">
        <f ca="1"/>
        <v>26-Dadra &amp; Nagar Haveli</v>
      </c>
    </row>
    <row r="28" spans="1:3" x14ac:dyDescent="0.25">
      <c r="A28" s="1" t="s">
        <v>62</v>
      </c>
      <c r="B28">
        <f>IF(COUNTIF('GSTR-3B'!$B$79:$B$115,A28)&gt;=1,"",ROW())</f>
        <v>28</v>
      </c>
      <c r="C28" t="str">
        <f ca="1"/>
        <v>27-Maharashtra</v>
      </c>
    </row>
    <row r="29" spans="1:3" x14ac:dyDescent="0.25">
      <c r="A29" s="1" t="s">
        <v>63</v>
      </c>
      <c r="B29">
        <f>IF(COUNTIF('GSTR-3B'!$B$79:$B$115,A29)&gt;=1,"",ROW())</f>
        <v>29</v>
      </c>
      <c r="C29" t="str">
        <f ca="1"/>
        <v>29-Karnataka</v>
      </c>
    </row>
    <row r="30" spans="1:3" x14ac:dyDescent="0.25">
      <c r="A30" s="1" t="s">
        <v>64</v>
      </c>
      <c r="B30">
        <f>IF(COUNTIF('GSTR-3B'!$B$79:$B$115,A30)&gt;=1,"",ROW())</f>
        <v>30</v>
      </c>
      <c r="C30" t="str">
        <f ca="1"/>
        <v>30-Goa</v>
      </c>
    </row>
    <row r="31" spans="1:3" x14ac:dyDescent="0.25">
      <c r="A31" s="1" t="s">
        <v>65</v>
      </c>
      <c r="B31">
        <f>IF(COUNTIF('GSTR-3B'!$B$79:$B$115,A31)&gt;=1,"",ROW())</f>
        <v>31</v>
      </c>
      <c r="C31" t="str">
        <f ca="1"/>
        <v>31-Lakshdweep</v>
      </c>
    </row>
    <row r="32" spans="1:3" x14ac:dyDescent="0.25">
      <c r="A32" s="1" t="s">
        <v>66</v>
      </c>
      <c r="B32">
        <f>IF(COUNTIF('GSTR-3B'!$B$79:$B$115,A32)&gt;=1,"",ROW())</f>
        <v>32</v>
      </c>
      <c r="C32" t="str">
        <f ca="1"/>
        <v>32-Kerala</v>
      </c>
    </row>
    <row r="33" spans="1:3" x14ac:dyDescent="0.25">
      <c r="A33" s="1" t="s">
        <v>67</v>
      </c>
      <c r="B33">
        <f>IF(COUNTIF('GSTR-3B'!$B$79:$B$115,A33)&gt;=1,"",ROW())</f>
        <v>33</v>
      </c>
      <c r="C33" t="str">
        <f ca="1"/>
        <v>33-Tamil Nadu</v>
      </c>
    </row>
    <row r="34" spans="1:3" x14ac:dyDescent="0.25">
      <c r="A34" s="1" t="s">
        <v>104</v>
      </c>
      <c r="B34">
        <f>IF(COUNTIF('GSTR-3B'!$B$79:$B$115,A34)&gt;=1,"",ROW())</f>
        <v>34</v>
      </c>
      <c r="C34" t="str">
        <f ca="1"/>
        <v>34-Puducherry</v>
      </c>
    </row>
    <row r="35" spans="1:3" x14ac:dyDescent="0.25">
      <c r="A35" s="1" t="s">
        <v>68</v>
      </c>
      <c r="B35">
        <f>IF(COUNTIF('GSTR-3B'!$B$79:$B$115,A35)&gt;=1,"",ROW())</f>
        <v>35</v>
      </c>
      <c r="C35" t="str">
        <f ca="1"/>
        <v>35-Andaman &amp; Nicobar Islands</v>
      </c>
    </row>
    <row r="36" spans="1:3" x14ac:dyDescent="0.25">
      <c r="A36" s="1" t="s">
        <v>69</v>
      </c>
      <c r="B36">
        <f>IF(COUNTIF('GSTR-3B'!$B$79:$B$115,A36)&gt;=1,"",ROW())</f>
        <v>36</v>
      </c>
      <c r="C36" t="str">
        <f ca="1"/>
        <v>36-Telengana</v>
      </c>
    </row>
    <row r="37" spans="1:3" x14ac:dyDescent="0.25">
      <c r="A37" s="1" t="s">
        <v>70</v>
      </c>
      <c r="B37">
        <f>IF(COUNTIF('GSTR-3B'!$B$79:$B$115,A37)&gt;=1,"",ROW())</f>
        <v>37</v>
      </c>
      <c r="C37" t="str">
        <f ca="1"/>
        <v>37-Andhra Pradesh</v>
      </c>
    </row>
    <row r="38" spans="1:3" x14ac:dyDescent="0.25">
      <c r="A38" s="2" t="s">
        <v>109</v>
      </c>
      <c r="B38">
        <f>IF(COUNTIF('GSTR-3B'!$B$79:$B$115,A38)&gt;=1,"",ROW())</f>
        <v>38</v>
      </c>
      <c r="C38" t="str">
        <f ca="1"/>
        <v>38-Ladakh</v>
      </c>
    </row>
    <row r="39" spans="1:3" x14ac:dyDescent="0.25">
      <c r="A39" s="2" t="s">
        <v>91</v>
      </c>
      <c r="B39">
        <f>IF(COUNTIF('GSTR-3B'!$B$79:$B$115,A39)&gt;=1,"",ROW())</f>
        <v>39</v>
      </c>
      <c r="C39" t="str">
        <f ca="1"/>
        <v>97-Other Territory</v>
      </c>
    </row>
  </sheetData>
  <sheetProtection password="F421"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Help Instructions </vt:lpstr>
      <vt:lpstr>GSTR-3B</vt:lpstr>
      <vt:lpstr>Sheet1</vt:lpstr>
      <vt:lpstr>Master</vt:lpstr>
      <vt:lpstr>ExemptNilRatedRange</vt:lpstr>
      <vt:lpstr>InterestRange</vt:lpstr>
      <vt:lpstr>InterStateSuppliesValuesRange</vt:lpstr>
      <vt:lpstr>ITCRange</vt:lpstr>
      <vt:lpstr>OutwardInwardSuppliesRange</vt:lpstr>
      <vt:lpstr>StateUTRange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Rahul Kulkarni</cp:lastModifiedBy>
  <dcterms:created xsi:type="dcterms:W3CDTF">2017-06-23T16:57:24Z</dcterms:created>
  <dcterms:modified xsi:type="dcterms:W3CDTF">2020-05-27T12:21:30Z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aditya.singh51@ad.infosys.com</vt:lpwstr>
  </property>
  <property fmtid="{D5CDD505-2E9C-101B-9397-08002B2CF9AE}" pid="13" name="MSIP_Label_a0819fa7-4367-4500-ba88-dd630d977609_SetDate">
    <vt:lpwstr>2019-11-15T08:06:34.4068154Z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2cdd17d3-25ab-46f7-ab6f-5aef2940ede1</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ies>
</file>